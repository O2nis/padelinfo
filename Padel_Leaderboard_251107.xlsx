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Results" sheetId="1" state="visible" r:id="rId3"/>
    <sheet name="Helper Results" sheetId="2" state="visible" r:id="rId4"/>
    <sheet name="Leaderboard" sheetId="3" state="visible" r:id="rId5"/>
  </sheets>
  <definedNames>
    <definedName function="false" hidden="true" localSheetId="2" name="_xlnm._FilterDatabase" vbProcedure="false">Leaderboard!$B$1:$J$1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<sst xmlns="http://schemas.openxmlformats.org/spreadsheetml/2006/main" count="531" uniqueCount="51">
  <si>
    <t xml:space="preserve">Date</t>
  </si>
  <si>
    <t xml:space="preserve">Court</t>
  </si>
  <si>
    <t xml:space="preserve">Player1</t>
  </si>
  <si>
    <t xml:space="preserve">Player2</t>
  </si>
  <si>
    <t xml:space="preserve">Score1</t>
  </si>
  <si>
    <t xml:space="preserve">Score2</t>
  </si>
  <si>
    <t xml:space="preserve">Player3</t>
  </si>
  <si>
    <t xml:space="preserve">Player4</t>
  </si>
  <si>
    <t xml:space="preserve">Power Court</t>
  </si>
  <si>
    <t xml:space="preserve">Vivek</t>
  </si>
  <si>
    <t xml:space="preserve">Sergio </t>
  </si>
  <si>
    <t xml:space="preserve">Bassam</t>
  </si>
  <si>
    <t xml:space="preserve">Joel</t>
  </si>
  <si>
    <t xml:space="preserve">Ahmad DD </t>
  </si>
  <si>
    <t xml:space="preserve">Own </t>
  </si>
  <si>
    <t xml:space="preserve">Dana</t>
  </si>
  <si>
    <t xml:space="preserve">Dauren</t>
  </si>
  <si>
    <t xml:space="preserve">Bruno</t>
  </si>
  <si>
    <t xml:space="preserve">Natalya</t>
  </si>
  <si>
    <t xml:space="preserve">Rising Court</t>
  </si>
  <si>
    <t xml:space="preserve">Tin </t>
  </si>
  <si>
    <t xml:space="preserve">Hazem</t>
  </si>
  <si>
    <t xml:space="preserve">Renato</t>
  </si>
  <si>
    <t xml:space="preserve">Andreas</t>
  </si>
  <si>
    <t xml:space="preserve">Julio</t>
  </si>
  <si>
    <t xml:space="preserve">Baobaid</t>
  </si>
  <si>
    <t xml:space="preserve">Thomas</t>
  </si>
  <si>
    <t xml:space="preserve">Amit</t>
  </si>
  <si>
    <t xml:space="preserve">Sharuk</t>
  </si>
  <si>
    <t xml:space="preserve">Caner</t>
  </si>
  <si>
    <t xml:space="preserve">Natella</t>
  </si>
  <si>
    <t xml:space="preserve">Matthias</t>
  </si>
  <si>
    <t xml:space="preserve">Roland</t>
  </si>
  <si>
    <t xml:space="preserve">Jamil</t>
  </si>
  <si>
    <t xml:space="preserve">Iuliana</t>
  </si>
  <si>
    <t xml:space="preserve">Reza</t>
  </si>
  <si>
    <t xml:space="preserve">Natella </t>
  </si>
  <si>
    <t xml:space="preserve">MatchID</t>
  </si>
  <si>
    <t xml:space="preserve">Player</t>
  </si>
  <si>
    <t xml:space="preserve">Result</t>
  </si>
  <si>
    <t xml:space="preserve">Points</t>
  </si>
  <si>
    <t xml:space="preserve">IF('Match Results'!E103&gt;'Match Results'!F103,"Win",IF('Match Results'!E103='Match Results'!F103,"Draw","Loss"))</t>
  </si>
  <si>
    <t xml:space="preserve">#</t>
  </si>
  <si>
    <t xml:space="preserve">Total Games</t>
  </si>
  <si>
    <t xml:space="preserve">Wins</t>
  </si>
  <si>
    <t xml:space="preserve">Draws</t>
  </si>
  <si>
    <t xml:space="preserve">Losses</t>
  </si>
  <si>
    <t xml:space="preserve">Base Points</t>
  </si>
  <si>
    <t xml:space="preserve">Bonus Points</t>
  </si>
  <si>
    <t xml:space="preserve">Total Points</t>
  </si>
  <si>
    <t xml:space="preserve">Rank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</si>
</sst>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name val="Calibri"/>
      <family val="0"/>
      <charset val="1"/>
    </font>
    <font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1"/>
  <sheetViews>
    <sheetView showFormulas="false" showGridLines="true" showRowColHeaders="true" showZeros="true" rightToLeft="false" tabSelected="true" showOutlineSymbols="true" defaultGridColor="true" view="normal" topLeftCell="A105" colorId="64" zoomScale="130" zoomScaleNormal="130" zoomScalePageLayoutView="100" workbookViewId="0">
      <selection pane="topLeft" activeCell="J37" activeCellId="0" sqref="J3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8.89"/>
    <col collapsed="false" customWidth="true" hidden="false" outlineLevel="0" max="2" min="2" style="0" width="15"/>
    <col collapsed="false" customWidth="true" hidden="false" outlineLevel="0" max="4" min="3" style="0" width="12.78"/>
    <col collapsed="false" customWidth="true" hidden="false" outlineLevel="0" max="6" min="5" style="0" width="7.55"/>
    <col collapsed="false" customWidth="true" hidden="false" outlineLevel="0" max="8" min="7" style="0" width="12.78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>
      <c r="A2" s="4" t="n">
        <v>45932</v>
      </c>
      <c r="B2" s="5" t="s">
        <v>8</v>
      </c>
      <c r="C2" s="5" t="s">
        <v>9</v>
      </c>
      <c r="D2" s="5" t="s">
        <v>10</v>
      </c>
      <c r="E2" s="6" t="n">
        <v>3</v>
      </c>
      <c r="F2" s="6" t="n">
        <v>0</v>
      </c>
      <c r="G2" s="5" t="s">
        <v>11</v>
      </c>
      <c r="H2" s="7" t="s">
        <v>12</v>
      </c>
    </row>
    <row r="3" customFormat="false" ht="14.25" hidden="false" customHeight="false" outlineLevel="0" collapsed="false">
      <c r="A3" s="8" t="n">
        <v>45932</v>
      </c>
      <c r="B3" s="9" t="s">
        <v>8</v>
      </c>
      <c r="C3" s="10" t="s">
        <v>13</v>
      </c>
      <c r="D3" s="10" t="s">
        <v>10</v>
      </c>
      <c r="E3" s="11" t="n">
        <v>3</v>
      </c>
      <c r="F3" s="11" t="n">
        <v>3</v>
      </c>
      <c r="G3" s="10" t="s">
        <v>9</v>
      </c>
      <c r="H3" s="12" t="s">
        <v>14</v>
      </c>
    </row>
    <row r="4" customFormat="false" ht="14.25" hidden="false" customHeight="false" outlineLevel="0" collapsed="false">
      <c r="A4" s="8" t="n">
        <v>45932</v>
      </c>
      <c r="B4" s="9" t="s">
        <v>8</v>
      </c>
      <c r="C4" s="10" t="s">
        <v>13</v>
      </c>
      <c r="D4" s="10" t="s">
        <v>15</v>
      </c>
      <c r="E4" s="11" t="n">
        <v>2</v>
      </c>
      <c r="F4" s="11" t="n">
        <v>1</v>
      </c>
      <c r="G4" s="10" t="s">
        <v>10</v>
      </c>
      <c r="H4" s="12" t="s">
        <v>16</v>
      </c>
    </row>
    <row r="5" customFormat="false" ht="14.25" hidden="false" customHeight="false" outlineLevel="0" collapsed="false">
      <c r="A5" s="8" t="n">
        <v>45932</v>
      </c>
      <c r="B5" s="9" t="s">
        <v>8</v>
      </c>
      <c r="C5" s="10" t="s">
        <v>13</v>
      </c>
      <c r="D5" s="10" t="s">
        <v>11</v>
      </c>
      <c r="E5" s="11" t="n">
        <v>3</v>
      </c>
      <c r="F5" s="11" t="n">
        <v>0</v>
      </c>
      <c r="G5" s="10" t="s">
        <v>17</v>
      </c>
      <c r="H5" s="12" t="s">
        <v>15</v>
      </c>
    </row>
    <row r="6" customFormat="false" ht="14.25" hidden="false" customHeight="false" outlineLevel="0" collapsed="false">
      <c r="A6" s="8" t="n">
        <v>45932</v>
      </c>
      <c r="B6" s="9" t="s">
        <v>8</v>
      </c>
      <c r="C6" s="10" t="s">
        <v>9</v>
      </c>
      <c r="D6" s="10" t="s">
        <v>12</v>
      </c>
      <c r="E6" s="11" t="n">
        <v>2</v>
      </c>
      <c r="F6" s="11" t="n">
        <v>1</v>
      </c>
      <c r="G6" s="10" t="s">
        <v>13</v>
      </c>
      <c r="H6" s="12" t="s">
        <v>14</v>
      </c>
    </row>
    <row r="7" customFormat="false" ht="14.25" hidden="false" customHeight="false" outlineLevel="0" collapsed="false">
      <c r="A7" s="8" t="n">
        <v>45932</v>
      </c>
      <c r="B7" s="9" t="s">
        <v>8</v>
      </c>
      <c r="C7" s="10" t="s">
        <v>9</v>
      </c>
      <c r="D7" s="10" t="s">
        <v>16</v>
      </c>
      <c r="E7" s="11" t="n">
        <v>3</v>
      </c>
      <c r="F7" s="11" t="n">
        <v>1</v>
      </c>
      <c r="G7" s="10" t="s">
        <v>14</v>
      </c>
      <c r="H7" s="12" t="s">
        <v>17</v>
      </c>
    </row>
    <row r="8" customFormat="false" ht="14.25" hidden="false" customHeight="false" outlineLevel="0" collapsed="false">
      <c r="A8" s="8" t="n">
        <v>45932</v>
      </c>
      <c r="B8" s="9" t="s">
        <v>8</v>
      </c>
      <c r="C8" s="10" t="s">
        <v>10</v>
      </c>
      <c r="D8" s="10" t="s">
        <v>18</v>
      </c>
      <c r="E8" s="11" t="n">
        <v>2</v>
      </c>
      <c r="F8" s="11" t="n">
        <v>1</v>
      </c>
      <c r="G8" s="10" t="s">
        <v>12</v>
      </c>
      <c r="H8" s="12" t="s">
        <v>15</v>
      </c>
    </row>
    <row r="9" customFormat="false" ht="14.25" hidden="false" customHeight="false" outlineLevel="0" collapsed="false">
      <c r="A9" s="8" t="n">
        <v>45932</v>
      </c>
      <c r="B9" s="9" t="s">
        <v>8</v>
      </c>
      <c r="C9" s="10" t="s">
        <v>16</v>
      </c>
      <c r="D9" s="10" t="s">
        <v>15</v>
      </c>
      <c r="E9" s="11" t="n">
        <v>2</v>
      </c>
      <c r="F9" s="11" t="n">
        <v>1</v>
      </c>
      <c r="G9" s="10" t="s">
        <v>17</v>
      </c>
      <c r="H9" s="12" t="s">
        <v>18</v>
      </c>
    </row>
    <row r="10" customFormat="false" ht="14.25" hidden="false" customHeight="false" outlineLevel="0" collapsed="false">
      <c r="A10" s="8" t="n">
        <v>45932</v>
      </c>
      <c r="B10" s="9" t="s">
        <v>8</v>
      </c>
      <c r="C10" s="10" t="s">
        <v>18</v>
      </c>
      <c r="D10" s="10" t="s">
        <v>9</v>
      </c>
      <c r="E10" s="11" t="n">
        <v>2</v>
      </c>
      <c r="F10" s="11" t="n">
        <v>1</v>
      </c>
      <c r="G10" s="10" t="s">
        <v>14</v>
      </c>
      <c r="H10" s="12" t="s">
        <v>12</v>
      </c>
    </row>
    <row r="11" customFormat="false" ht="14.25" hidden="false" customHeight="false" outlineLevel="0" collapsed="false">
      <c r="A11" s="8" t="n">
        <v>45932</v>
      </c>
      <c r="B11" s="9" t="s">
        <v>8</v>
      </c>
      <c r="C11" s="10" t="s">
        <v>18</v>
      </c>
      <c r="D11" s="10" t="s">
        <v>11</v>
      </c>
      <c r="E11" s="11" t="n">
        <v>1</v>
      </c>
      <c r="F11" s="11" t="n">
        <v>2</v>
      </c>
      <c r="G11" s="10" t="s">
        <v>9</v>
      </c>
      <c r="H11" s="12" t="s">
        <v>12</v>
      </c>
    </row>
    <row r="12" customFormat="false" ht="14.25" hidden="false" customHeight="false" outlineLevel="0" collapsed="false">
      <c r="A12" s="8" t="n">
        <v>45932</v>
      </c>
      <c r="B12" s="10" t="s">
        <v>19</v>
      </c>
      <c r="C12" s="10" t="s">
        <v>11</v>
      </c>
      <c r="D12" s="10" t="s">
        <v>15</v>
      </c>
      <c r="E12" s="11" t="n">
        <v>2</v>
      </c>
      <c r="F12" s="11" t="n">
        <v>1</v>
      </c>
      <c r="G12" s="10" t="s">
        <v>10</v>
      </c>
      <c r="H12" s="12" t="s">
        <v>18</v>
      </c>
    </row>
    <row r="13" customFormat="false" ht="15" hidden="false" customHeight="true" outlineLevel="0" collapsed="false">
      <c r="A13" s="8" t="n">
        <v>45932</v>
      </c>
      <c r="B13" s="10" t="s">
        <v>19</v>
      </c>
      <c r="C13" s="10"/>
      <c r="D13" s="10"/>
      <c r="E13" s="11"/>
      <c r="F13" s="11"/>
      <c r="G13" s="10"/>
      <c r="H13" s="12"/>
    </row>
    <row r="14" customFormat="false" ht="14.25" hidden="false" customHeight="false" outlineLevel="0" collapsed="false">
      <c r="A14" s="8" t="n">
        <v>45932</v>
      </c>
      <c r="B14" s="10" t="s">
        <v>19</v>
      </c>
      <c r="C14" s="13"/>
      <c r="D14" s="13"/>
      <c r="E14" s="13"/>
      <c r="F14" s="13"/>
      <c r="G14" s="13"/>
      <c r="H14" s="14"/>
    </row>
    <row r="15" customFormat="false" ht="14.25" hidden="false" customHeight="false" outlineLevel="0" collapsed="false">
      <c r="A15" s="8" t="n">
        <v>45932</v>
      </c>
      <c r="B15" s="10" t="s">
        <v>19</v>
      </c>
      <c r="C15" s="13"/>
      <c r="D15" s="13"/>
      <c r="E15" s="13"/>
      <c r="F15" s="13"/>
      <c r="G15" s="13"/>
      <c r="H15" s="14"/>
    </row>
    <row r="16" customFormat="false" ht="14.25" hidden="false" customHeight="false" outlineLevel="0" collapsed="false">
      <c r="A16" s="8" t="n">
        <v>45932</v>
      </c>
      <c r="B16" s="10" t="s">
        <v>19</v>
      </c>
      <c r="C16" s="13"/>
      <c r="D16" s="13"/>
      <c r="E16" s="13"/>
      <c r="F16" s="13"/>
      <c r="G16" s="13"/>
      <c r="H16" s="14"/>
    </row>
    <row r="17" customFormat="false" ht="14.25" hidden="false" customHeight="false" outlineLevel="0" collapsed="false">
      <c r="A17" s="8" t="n">
        <v>45932</v>
      </c>
      <c r="B17" s="10" t="s">
        <v>19</v>
      </c>
      <c r="C17" s="13"/>
      <c r="D17" s="13"/>
      <c r="E17" s="13"/>
      <c r="F17" s="13"/>
      <c r="G17" s="13"/>
      <c r="H17" s="14"/>
    </row>
    <row r="18" customFormat="false" ht="14.25" hidden="false" customHeight="false" outlineLevel="0" collapsed="false">
      <c r="A18" s="8" t="n">
        <v>45932</v>
      </c>
      <c r="B18" s="10" t="s">
        <v>19</v>
      </c>
      <c r="C18" s="13"/>
      <c r="D18" s="13"/>
      <c r="E18" s="13"/>
      <c r="F18" s="13"/>
      <c r="G18" s="13"/>
      <c r="H18" s="14"/>
    </row>
    <row r="19" customFormat="false" ht="14.25" hidden="false" customHeight="false" outlineLevel="0" collapsed="false">
      <c r="A19" s="8" t="n">
        <v>45932</v>
      </c>
      <c r="B19" s="10" t="s">
        <v>19</v>
      </c>
      <c r="C19" s="13"/>
      <c r="D19" s="13"/>
      <c r="E19" s="13"/>
      <c r="F19" s="13"/>
      <c r="G19" s="13"/>
      <c r="H19" s="14"/>
    </row>
    <row r="20" customFormat="false" ht="14.25" hidden="false" customHeight="false" outlineLevel="0" collapsed="false">
      <c r="A20" s="8" t="n">
        <v>45932</v>
      </c>
      <c r="B20" s="10" t="s">
        <v>19</v>
      </c>
      <c r="C20" s="13"/>
      <c r="D20" s="13"/>
      <c r="E20" s="13"/>
      <c r="F20" s="13"/>
      <c r="G20" s="13"/>
      <c r="H20" s="14"/>
    </row>
    <row r="21" customFormat="false" ht="14.25" hidden="false" customHeight="false" outlineLevel="0" collapsed="false">
      <c r="A21" s="15" t="n">
        <v>45932</v>
      </c>
      <c r="B21" s="16" t="s">
        <v>19</v>
      </c>
      <c r="C21" s="17"/>
      <c r="D21" s="17"/>
      <c r="E21" s="17"/>
      <c r="F21" s="17"/>
      <c r="G21" s="17"/>
      <c r="H21" s="18"/>
    </row>
    <row r="22" customFormat="false" ht="14.25" hidden="false" customHeight="false" outlineLevel="0" collapsed="false">
      <c r="A22" s="4" t="n">
        <f aca="false">A13+7</f>
        <v>45939</v>
      </c>
      <c r="B22" s="5" t="s">
        <v>8</v>
      </c>
      <c r="C22" s="5" t="s">
        <v>20</v>
      </c>
      <c r="D22" s="5" t="s">
        <v>17</v>
      </c>
      <c r="E22" s="6" t="n">
        <v>1</v>
      </c>
      <c r="F22" s="6" t="n">
        <v>2</v>
      </c>
      <c r="G22" s="5" t="s">
        <v>12</v>
      </c>
      <c r="H22" s="7" t="s">
        <v>21</v>
      </c>
    </row>
    <row r="23" customFormat="false" ht="14.25" hidden="false" customHeight="false" outlineLevel="0" collapsed="false">
      <c r="A23" s="8" t="n">
        <f aca="false">A22</f>
        <v>45939</v>
      </c>
      <c r="B23" s="10" t="s">
        <v>8</v>
      </c>
      <c r="C23" s="10" t="s">
        <v>20</v>
      </c>
      <c r="D23" s="10" t="s">
        <v>22</v>
      </c>
      <c r="E23" s="11" t="n">
        <v>2</v>
      </c>
      <c r="F23" s="11" t="n">
        <v>1</v>
      </c>
      <c r="G23" s="10" t="s">
        <v>23</v>
      </c>
      <c r="H23" s="12" t="s">
        <v>24</v>
      </c>
    </row>
    <row r="24" customFormat="false" ht="14.25" hidden="false" customHeight="false" outlineLevel="0" collapsed="false">
      <c r="A24" s="8" t="n">
        <f aca="false">A23</f>
        <v>45939</v>
      </c>
      <c r="B24" s="10" t="s">
        <v>8</v>
      </c>
      <c r="C24" s="10" t="s">
        <v>15</v>
      </c>
      <c r="D24" s="10" t="s">
        <v>16</v>
      </c>
      <c r="E24" s="11" t="n">
        <v>2</v>
      </c>
      <c r="F24" s="11" t="n">
        <v>1</v>
      </c>
      <c r="G24" s="10" t="s">
        <v>17</v>
      </c>
      <c r="H24" s="12" t="s">
        <v>18</v>
      </c>
    </row>
    <row r="25" customFormat="false" ht="15" hidden="false" customHeight="true" outlineLevel="0" collapsed="false">
      <c r="A25" s="8" t="n">
        <f aca="false">A24</f>
        <v>45939</v>
      </c>
      <c r="B25" s="10" t="s">
        <v>8</v>
      </c>
      <c r="C25" s="10" t="s">
        <v>12</v>
      </c>
      <c r="D25" s="10" t="s">
        <v>13</v>
      </c>
      <c r="E25" s="11" t="n">
        <v>3</v>
      </c>
      <c r="F25" s="11" t="n">
        <v>0</v>
      </c>
      <c r="G25" s="10" t="s">
        <v>22</v>
      </c>
      <c r="H25" s="12" t="s">
        <v>21</v>
      </c>
    </row>
    <row r="26" customFormat="false" ht="14.25" hidden="false" customHeight="false" outlineLevel="0" collapsed="false">
      <c r="A26" s="8" t="n">
        <f aca="false">A25</f>
        <v>45939</v>
      </c>
      <c r="B26" s="10" t="s">
        <v>8</v>
      </c>
      <c r="C26" s="10" t="s">
        <v>17</v>
      </c>
      <c r="D26" s="10" t="s">
        <v>23</v>
      </c>
      <c r="E26" s="11" t="n">
        <v>2</v>
      </c>
      <c r="F26" s="11" t="n">
        <v>1</v>
      </c>
      <c r="G26" s="10" t="s">
        <v>20</v>
      </c>
      <c r="H26" s="12" t="s">
        <v>16</v>
      </c>
    </row>
    <row r="27" customFormat="false" ht="14.25" hidden="false" customHeight="false" outlineLevel="0" collapsed="false">
      <c r="A27" s="8" t="n">
        <f aca="false">A26</f>
        <v>45939</v>
      </c>
      <c r="B27" s="10" t="s">
        <v>8</v>
      </c>
      <c r="C27" s="10" t="s">
        <v>12</v>
      </c>
      <c r="D27" s="10" t="s">
        <v>15</v>
      </c>
      <c r="E27" s="11" t="n">
        <v>1</v>
      </c>
      <c r="F27" s="11" t="n">
        <v>2</v>
      </c>
      <c r="G27" s="10" t="s">
        <v>13</v>
      </c>
      <c r="H27" s="12" t="s">
        <v>18</v>
      </c>
    </row>
    <row r="28" customFormat="false" ht="14.25" hidden="false" customHeight="false" outlineLevel="0" collapsed="false">
      <c r="A28" s="8" t="n">
        <f aca="false">A27</f>
        <v>45939</v>
      </c>
      <c r="B28" s="10" t="s">
        <v>8</v>
      </c>
      <c r="C28" s="10" t="s">
        <v>21</v>
      </c>
      <c r="D28" s="10" t="s">
        <v>20</v>
      </c>
      <c r="E28" s="11" t="n">
        <v>2</v>
      </c>
      <c r="F28" s="11" t="n">
        <v>1</v>
      </c>
      <c r="G28" s="10" t="s">
        <v>23</v>
      </c>
      <c r="H28" s="12" t="s">
        <v>24</v>
      </c>
    </row>
    <row r="29" customFormat="false" ht="14.25" hidden="false" customHeight="false" outlineLevel="0" collapsed="false">
      <c r="A29" s="8" t="n">
        <f aca="false">A28</f>
        <v>45939</v>
      </c>
      <c r="B29" s="10" t="s">
        <v>8</v>
      </c>
      <c r="C29" s="10" t="s">
        <v>22</v>
      </c>
      <c r="D29" s="10" t="s">
        <v>12</v>
      </c>
      <c r="E29" s="11" t="n">
        <v>3</v>
      </c>
      <c r="F29" s="11" t="n">
        <v>0</v>
      </c>
      <c r="G29" s="10" t="s">
        <v>20</v>
      </c>
      <c r="H29" s="12" t="s">
        <v>21</v>
      </c>
    </row>
    <row r="30" customFormat="false" ht="14.25" hidden="false" customHeight="false" outlineLevel="0" collapsed="false">
      <c r="A30" s="8" t="n">
        <f aca="false">A29</f>
        <v>45939</v>
      </c>
      <c r="B30" s="10" t="s">
        <v>8</v>
      </c>
      <c r="C30" s="10" t="s">
        <v>13</v>
      </c>
      <c r="D30" s="10" t="s">
        <v>17</v>
      </c>
      <c r="E30" s="11" t="n">
        <v>2</v>
      </c>
      <c r="F30" s="11" t="n">
        <v>1</v>
      </c>
      <c r="G30" s="10" t="s">
        <v>23</v>
      </c>
      <c r="H30" s="12" t="s">
        <v>16</v>
      </c>
    </row>
    <row r="31" customFormat="false" ht="14.25" hidden="false" customHeight="false" outlineLevel="0" collapsed="false">
      <c r="A31" s="8" t="n">
        <f aca="false">A30</f>
        <v>45939</v>
      </c>
      <c r="B31" s="10" t="s">
        <v>8</v>
      </c>
      <c r="C31" s="10" t="s">
        <v>17</v>
      </c>
      <c r="D31" s="10" t="s">
        <v>16</v>
      </c>
      <c r="E31" s="11" t="n">
        <v>2</v>
      </c>
      <c r="F31" s="11" t="n">
        <v>1</v>
      </c>
      <c r="G31" s="10" t="s">
        <v>14</v>
      </c>
      <c r="H31" s="12" t="s">
        <v>25</v>
      </c>
    </row>
    <row r="32" customFormat="false" ht="14.25" hidden="false" customHeight="false" outlineLevel="0" collapsed="false">
      <c r="A32" s="8" t="n">
        <f aca="false">A31</f>
        <v>45939</v>
      </c>
      <c r="B32" s="10" t="s">
        <v>19</v>
      </c>
      <c r="C32" s="10" t="s">
        <v>15</v>
      </c>
      <c r="D32" s="10" t="s">
        <v>12</v>
      </c>
      <c r="E32" s="11" t="n">
        <v>2</v>
      </c>
      <c r="F32" s="11" t="n">
        <v>1</v>
      </c>
      <c r="G32" s="10" t="s">
        <v>14</v>
      </c>
      <c r="H32" s="12" t="s">
        <v>18</v>
      </c>
    </row>
    <row r="33" customFormat="false" ht="14.25" hidden="false" customHeight="false" outlineLevel="0" collapsed="false">
      <c r="A33" s="8" t="n">
        <f aca="false">A32</f>
        <v>45939</v>
      </c>
      <c r="B33" s="10" t="s">
        <v>19</v>
      </c>
      <c r="C33" s="10" t="s">
        <v>23</v>
      </c>
      <c r="D33" s="10" t="s">
        <v>20</v>
      </c>
      <c r="E33" s="11" t="n">
        <v>2</v>
      </c>
      <c r="F33" s="11" t="n">
        <v>1</v>
      </c>
      <c r="G33" s="10" t="s">
        <v>22</v>
      </c>
      <c r="H33" s="12" t="s">
        <v>12</v>
      </c>
    </row>
    <row r="34" customFormat="false" ht="14.25" hidden="false" customHeight="false" outlineLevel="0" collapsed="false">
      <c r="A34" s="8" t="n">
        <f aca="false">A33</f>
        <v>45939</v>
      </c>
      <c r="B34" s="10" t="s">
        <v>19</v>
      </c>
      <c r="C34" s="10" t="s">
        <v>17</v>
      </c>
      <c r="D34" s="10" t="s">
        <v>14</v>
      </c>
      <c r="E34" s="11" t="n">
        <v>0</v>
      </c>
      <c r="F34" s="11" t="n">
        <v>2</v>
      </c>
      <c r="G34" s="10" t="s">
        <v>13</v>
      </c>
      <c r="H34" s="12" t="s">
        <v>25</v>
      </c>
    </row>
    <row r="35" customFormat="false" ht="14.25" hidden="false" customHeight="false" outlineLevel="0" collapsed="false">
      <c r="A35" s="8" t="n">
        <f aca="false">A34</f>
        <v>45939</v>
      </c>
      <c r="B35" s="10" t="s">
        <v>19</v>
      </c>
      <c r="C35" s="10" t="s">
        <v>13</v>
      </c>
      <c r="D35" s="10" t="s">
        <v>20</v>
      </c>
      <c r="E35" s="11" t="n">
        <v>1</v>
      </c>
      <c r="F35" s="11" t="n">
        <v>2</v>
      </c>
      <c r="G35" s="10" t="s">
        <v>12</v>
      </c>
      <c r="H35" s="12" t="s">
        <v>23</v>
      </c>
    </row>
    <row r="36" customFormat="false" ht="14.25" hidden="false" customHeight="false" outlineLevel="0" collapsed="false">
      <c r="A36" s="8" t="n">
        <f aca="false">A35</f>
        <v>45939</v>
      </c>
      <c r="B36" s="10" t="s">
        <v>19</v>
      </c>
      <c r="C36" s="10" t="s">
        <v>21</v>
      </c>
      <c r="D36" s="10" t="s">
        <v>18</v>
      </c>
      <c r="E36" s="11" t="n">
        <v>2</v>
      </c>
      <c r="F36" s="11" t="n">
        <v>1</v>
      </c>
      <c r="G36" s="10" t="s">
        <v>16</v>
      </c>
      <c r="H36" s="12" t="s">
        <v>15</v>
      </c>
    </row>
    <row r="37" customFormat="false" ht="15" hidden="false" customHeight="true" outlineLevel="0" collapsed="false">
      <c r="A37" s="8" t="n">
        <f aca="false">A22</f>
        <v>45939</v>
      </c>
      <c r="B37" s="10" t="s">
        <v>19</v>
      </c>
      <c r="C37" s="10" t="s">
        <v>14</v>
      </c>
      <c r="D37" s="10" t="s">
        <v>23</v>
      </c>
      <c r="E37" s="11" t="n">
        <v>1</v>
      </c>
      <c r="F37" s="11" t="n">
        <v>2</v>
      </c>
      <c r="G37" s="10" t="s">
        <v>24</v>
      </c>
      <c r="H37" s="12" t="s">
        <v>25</v>
      </c>
    </row>
    <row r="38" customFormat="false" ht="14.25" hidden="false" customHeight="false" outlineLevel="0" collapsed="false">
      <c r="A38" s="8" t="n">
        <f aca="false">A22</f>
        <v>45939</v>
      </c>
      <c r="B38" s="10" t="s">
        <v>19</v>
      </c>
      <c r="C38" s="10" t="s">
        <v>13</v>
      </c>
      <c r="D38" s="10" t="s">
        <v>23</v>
      </c>
      <c r="E38" s="11" t="n">
        <v>3</v>
      </c>
      <c r="F38" s="11" t="n">
        <v>3</v>
      </c>
      <c r="G38" s="10" t="s">
        <v>25</v>
      </c>
      <c r="H38" s="12" t="s">
        <v>24</v>
      </c>
    </row>
    <row r="39" customFormat="false" ht="14.25" hidden="false" customHeight="false" outlineLevel="0" collapsed="false">
      <c r="A39" s="8" t="n">
        <f aca="false">A22</f>
        <v>45939</v>
      </c>
      <c r="B39" s="10" t="s">
        <v>19</v>
      </c>
      <c r="C39" s="13"/>
      <c r="D39" s="13"/>
      <c r="E39" s="13"/>
      <c r="F39" s="13"/>
      <c r="G39" s="13"/>
      <c r="H39" s="14"/>
    </row>
    <row r="40" customFormat="false" ht="14.25" hidden="false" customHeight="false" outlineLevel="0" collapsed="false">
      <c r="A40" s="8" t="n">
        <f aca="false">A22</f>
        <v>45939</v>
      </c>
      <c r="B40" s="10" t="s">
        <v>19</v>
      </c>
      <c r="C40" s="13"/>
      <c r="D40" s="13"/>
      <c r="E40" s="13"/>
      <c r="F40" s="13"/>
      <c r="G40" s="13"/>
      <c r="H40" s="14"/>
    </row>
    <row r="41" customFormat="false" ht="14.25" hidden="false" customHeight="false" outlineLevel="0" collapsed="false">
      <c r="A41" s="15" t="n">
        <f aca="false">A22</f>
        <v>45939</v>
      </c>
      <c r="B41" s="16" t="s">
        <v>19</v>
      </c>
      <c r="C41" s="17"/>
      <c r="D41" s="17"/>
      <c r="E41" s="17"/>
      <c r="F41" s="17"/>
      <c r="G41" s="17"/>
      <c r="H41" s="18"/>
    </row>
    <row r="42" customFormat="false" ht="14.25" hidden="false" customHeight="false" outlineLevel="0" collapsed="false">
      <c r="A42" s="4" t="n">
        <f aca="false">A25+7</f>
        <v>45946</v>
      </c>
      <c r="B42" s="5" t="s">
        <v>8</v>
      </c>
      <c r="C42" s="5" t="s">
        <v>26</v>
      </c>
      <c r="D42" s="5" t="s">
        <v>14</v>
      </c>
      <c r="E42" s="6" t="n">
        <v>2</v>
      </c>
      <c r="F42" s="6" t="n">
        <v>0</v>
      </c>
      <c r="G42" s="5" t="s">
        <v>23</v>
      </c>
      <c r="H42" s="7" t="s">
        <v>24</v>
      </c>
    </row>
    <row r="43" customFormat="false" ht="14.25" hidden="false" customHeight="false" outlineLevel="0" collapsed="false">
      <c r="A43" s="8" t="n">
        <f aca="false">A42</f>
        <v>45946</v>
      </c>
      <c r="B43" s="10" t="s">
        <v>8</v>
      </c>
      <c r="C43" s="10" t="s">
        <v>13</v>
      </c>
      <c r="D43" s="10" t="s">
        <v>18</v>
      </c>
      <c r="E43" s="11" t="n">
        <v>2</v>
      </c>
      <c r="F43" s="11" t="n">
        <v>0</v>
      </c>
      <c r="G43" s="10" t="s">
        <v>12</v>
      </c>
      <c r="H43" s="12" t="s">
        <v>27</v>
      </c>
    </row>
    <row r="44" customFormat="false" ht="14.25" hidden="false" customHeight="false" outlineLevel="0" collapsed="false">
      <c r="A44" s="8" t="n">
        <f aca="false">A43</f>
        <v>45946</v>
      </c>
      <c r="B44" s="10" t="s">
        <v>8</v>
      </c>
      <c r="C44" s="10" t="s">
        <v>17</v>
      </c>
      <c r="D44" s="10" t="s">
        <v>28</v>
      </c>
      <c r="E44" s="11" t="n">
        <v>2</v>
      </c>
      <c r="F44" s="11" t="n">
        <v>1</v>
      </c>
      <c r="G44" s="10" t="s">
        <v>22</v>
      </c>
      <c r="H44" s="12" t="s">
        <v>16</v>
      </c>
    </row>
    <row r="45" customFormat="false" ht="14.25" hidden="false" customHeight="false" outlineLevel="0" collapsed="false">
      <c r="A45" s="8" t="n">
        <f aca="false">A44</f>
        <v>45946</v>
      </c>
      <c r="B45" s="10" t="s">
        <v>8</v>
      </c>
      <c r="C45" s="10" t="s">
        <v>12</v>
      </c>
      <c r="D45" s="10" t="s">
        <v>18</v>
      </c>
      <c r="E45" s="11" t="n">
        <v>2</v>
      </c>
      <c r="F45" s="11" t="n">
        <v>0</v>
      </c>
      <c r="G45" s="10" t="s">
        <v>29</v>
      </c>
      <c r="H45" s="12" t="s">
        <v>24</v>
      </c>
    </row>
    <row r="46" customFormat="false" ht="14.25" hidden="false" customHeight="false" outlineLevel="0" collapsed="false">
      <c r="A46" s="8" t="n">
        <f aca="false">A45</f>
        <v>45946</v>
      </c>
      <c r="B46" s="10" t="s">
        <v>8</v>
      </c>
      <c r="C46" s="10" t="s">
        <v>13</v>
      </c>
      <c r="D46" s="10" t="s">
        <v>23</v>
      </c>
      <c r="E46" s="11" t="n">
        <v>2</v>
      </c>
      <c r="F46" s="11" t="n">
        <v>1</v>
      </c>
      <c r="G46" s="10" t="s">
        <v>14</v>
      </c>
      <c r="H46" s="12" t="s">
        <v>26</v>
      </c>
    </row>
    <row r="47" customFormat="false" ht="14.25" hidden="false" customHeight="false" outlineLevel="0" collapsed="false">
      <c r="A47" s="8" t="n">
        <f aca="false">A46</f>
        <v>45946</v>
      </c>
      <c r="B47" s="10" t="s">
        <v>8</v>
      </c>
      <c r="C47" s="10" t="s">
        <v>18</v>
      </c>
      <c r="D47" s="10" t="s">
        <v>30</v>
      </c>
      <c r="E47" s="11" t="n">
        <v>3</v>
      </c>
      <c r="F47" s="11" t="n">
        <v>0</v>
      </c>
      <c r="G47" s="10" t="s">
        <v>15</v>
      </c>
      <c r="H47" s="12" t="s">
        <v>27</v>
      </c>
    </row>
    <row r="48" customFormat="false" ht="14.25" hidden="false" customHeight="false" outlineLevel="0" collapsed="false">
      <c r="A48" s="8" t="n">
        <f aca="false">A47</f>
        <v>45946</v>
      </c>
      <c r="B48" s="10" t="s">
        <v>8</v>
      </c>
      <c r="C48" s="10" t="s">
        <v>15</v>
      </c>
      <c r="D48" s="10" t="s">
        <v>31</v>
      </c>
      <c r="E48" s="11" t="n">
        <v>3</v>
      </c>
      <c r="F48" s="11" t="n">
        <v>1</v>
      </c>
      <c r="G48" s="10" t="s">
        <v>30</v>
      </c>
      <c r="H48" s="12" t="s">
        <v>32</v>
      </c>
    </row>
    <row r="49" customFormat="false" ht="15" hidden="false" customHeight="true" outlineLevel="0" collapsed="false">
      <c r="A49" s="8" t="n">
        <f aca="false">A48</f>
        <v>45946</v>
      </c>
      <c r="B49" s="10" t="s">
        <v>8</v>
      </c>
      <c r="C49" s="10" t="s">
        <v>15</v>
      </c>
      <c r="D49" s="10" t="s">
        <v>23</v>
      </c>
      <c r="E49" s="11" t="n">
        <v>2</v>
      </c>
      <c r="F49" s="11" t="n">
        <v>1</v>
      </c>
      <c r="G49" s="10" t="s">
        <v>30</v>
      </c>
      <c r="H49" s="12" t="s">
        <v>24</v>
      </c>
    </row>
    <row r="50" customFormat="false" ht="14.25" hidden="false" customHeight="false" outlineLevel="0" collapsed="false">
      <c r="A50" s="8" t="n">
        <f aca="false">A49</f>
        <v>45946</v>
      </c>
      <c r="B50" s="10" t="s">
        <v>8</v>
      </c>
      <c r="C50" s="10" t="s">
        <v>21</v>
      </c>
      <c r="D50" s="10" t="s">
        <v>14</v>
      </c>
      <c r="E50" s="11" t="n">
        <v>2</v>
      </c>
      <c r="F50" s="11" t="n">
        <v>0</v>
      </c>
      <c r="G50" s="10" t="s">
        <v>29</v>
      </c>
      <c r="H50" s="12" t="s">
        <v>28</v>
      </c>
    </row>
    <row r="51" customFormat="false" ht="14.25" hidden="false" customHeight="false" outlineLevel="0" collapsed="false">
      <c r="A51" s="8" t="n">
        <f aca="false">A50</f>
        <v>45946</v>
      </c>
      <c r="B51" s="10" t="s">
        <v>8</v>
      </c>
      <c r="C51" s="10" t="s">
        <v>13</v>
      </c>
      <c r="D51" s="10" t="s">
        <v>22</v>
      </c>
      <c r="E51" s="11" t="n">
        <v>6</v>
      </c>
      <c r="F51" s="11" t="n">
        <v>2</v>
      </c>
      <c r="G51" s="10" t="s">
        <v>12</v>
      </c>
      <c r="H51" s="12" t="s">
        <v>17</v>
      </c>
    </row>
    <row r="52" customFormat="false" ht="14.25" hidden="false" customHeight="false" outlineLevel="0" collapsed="false">
      <c r="A52" s="8" t="n">
        <f aca="false">A51</f>
        <v>45946</v>
      </c>
      <c r="B52" s="10" t="s">
        <v>19</v>
      </c>
      <c r="C52" s="10" t="s">
        <v>15</v>
      </c>
      <c r="D52" s="10" t="s">
        <v>29</v>
      </c>
      <c r="E52" s="11" t="n">
        <v>3</v>
      </c>
      <c r="F52" s="11" t="n">
        <v>0</v>
      </c>
      <c r="G52" s="10" t="s">
        <v>18</v>
      </c>
      <c r="H52" s="12" t="s">
        <v>28</v>
      </c>
    </row>
    <row r="53" customFormat="false" ht="14.25" hidden="false" customHeight="false" outlineLevel="0" collapsed="false">
      <c r="A53" s="8" t="n">
        <f aca="false">A52</f>
        <v>45946</v>
      </c>
      <c r="B53" s="10" t="s">
        <v>19</v>
      </c>
      <c r="C53" s="10" t="s">
        <v>26</v>
      </c>
      <c r="D53" s="10" t="s">
        <v>23</v>
      </c>
      <c r="E53" s="11" t="n">
        <v>3</v>
      </c>
      <c r="F53" s="11" t="n">
        <v>0</v>
      </c>
      <c r="G53" s="10" t="s">
        <v>31</v>
      </c>
      <c r="H53" s="12" t="s">
        <v>30</v>
      </c>
    </row>
    <row r="54" customFormat="false" ht="14.25" hidden="false" customHeight="false" outlineLevel="0" collapsed="false">
      <c r="A54" s="8" t="n">
        <f aca="false">A53</f>
        <v>45946</v>
      </c>
      <c r="B54" s="10" t="s">
        <v>19</v>
      </c>
      <c r="C54" s="10" t="s">
        <v>16</v>
      </c>
      <c r="D54" s="10" t="s">
        <v>32</v>
      </c>
      <c r="E54" s="11" t="n">
        <v>2</v>
      </c>
      <c r="F54" s="11" t="n">
        <v>1</v>
      </c>
      <c r="G54" s="10" t="s">
        <v>27</v>
      </c>
      <c r="H54" s="12" t="s">
        <v>24</v>
      </c>
    </row>
    <row r="55" customFormat="false" ht="14.25" hidden="false" customHeight="false" outlineLevel="0" collapsed="false">
      <c r="A55" s="8" t="n">
        <f aca="false">A54</f>
        <v>45946</v>
      </c>
      <c r="B55" s="10" t="s">
        <v>19</v>
      </c>
      <c r="C55" s="10" t="s">
        <v>29</v>
      </c>
      <c r="D55" s="10" t="s">
        <v>14</v>
      </c>
      <c r="E55" s="11" t="n">
        <v>3</v>
      </c>
      <c r="F55" s="11" t="n">
        <v>0</v>
      </c>
      <c r="G55" s="10" t="s">
        <v>27</v>
      </c>
      <c r="H55" s="12" t="s">
        <v>21</v>
      </c>
    </row>
    <row r="56" customFormat="false" ht="14.25" hidden="false" customHeight="false" outlineLevel="0" collapsed="false">
      <c r="A56" s="8" t="n">
        <f aca="false">A55</f>
        <v>45946</v>
      </c>
      <c r="B56" s="10" t="s">
        <v>19</v>
      </c>
      <c r="C56" s="10" t="s">
        <v>13</v>
      </c>
      <c r="D56" s="10" t="s">
        <v>22</v>
      </c>
      <c r="E56" s="11" t="n">
        <v>3</v>
      </c>
      <c r="F56" s="11" t="n">
        <v>1</v>
      </c>
      <c r="G56" s="10" t="s">
        <v>23</v>
      </c>
      <c r="H56" s="12" t="s">
        <v>26</v>
      </c>
    </row>
    <row r="57" customFormat="false" ht="14.25" hidden="false" customHeight="false" outlineLevel="0" collapsed="false">
      <c r="A57" s="8" t="n">
        <f aca="false">A56</f>
        <v>45946</v>
      </c>
      <c r="B57" s="10" t="s">
        <v>19</v>
      </c>
      <c r="C57" s="13"/>
      <c r="D57" s="13"/>
      <c r="E57" s="13"/>
      <c r="F57" s="13"/>
      <c r="G57" s="13"/>
      <c r="H57" s="14"/>
    </row>
    <row r="58" customFormat="false" ht="14.25" hidden="false" customHeight="false" outlineLevel="0" collapsed="false">
      <c r="A58" s="8" t="n">
        <f aca="false">A57</f>
        <v>45946</v>
      </c>
      <c r="B58" s="10" t="s">
        <v>19</v>
      </c>
      <c r="C58" s="13"/>
      <c r="D58" s="13"/>
      <c r="E58" s="13"/>
      <c r="F58" s="13"/>
      <c r="G58" s="13"/>
      <c r="H58" s="14"/>
    </row>
    <row r="59" customFormat="false" ht="14.25" hidden="false" customHeight="false" outlineLevel="0" collapsed="false">
      <c r="A59" s="8" t="n">
        <f aca="false">A58</f>
        <v>45946</v>
      </c>
      <c r="B59" s="10" t="s">
        <v>19</v>
      </c>
      <c r="C59" s="13"/>
      <c r="D59" s="13"/>
      <c r="E59" s="13"/>
      <c r="F59" s="13"/>
      <c r="G59" s="13"/>
      <c r="H59" s="14"/>
    </row>
    <row r="60" customFormat="false" ht="14.25" hidden="false" customHeight="false" outlineLevel="0" collapsed="false">
      <c r="A60" s="8" t="n">
        <f aca="false">A59</f>
        <v>45946</v>
      </c>
      <c r="B60" s="10" t="s">
        <v>19</v>
      </c>
      <c r="C60" s="13"/>
      <c r="D60" s="13"/>
      <c r="E60" s="13"/>
      <c r="F60" s="13"/>
      <c r="G60" s="13"/>
      <c r="H60" s="14"/>
    </row>
    <row r="61" customFormat="false" ht="15" hidden="false" customHeight="true" outlineLevel="0" collapsed="false">
      <c r="A61" s="15" t="n">
        <f aca="false">A60</f>
        <v>45946</v>
      </c>
      <c r="B61" s="16" t="s">
        <v>19</v>
      </c>
      <c r="C61" s="17"/>
      <c r="D61" s="17"/>
      <c r="E61" s="17"/>
      <c r="F61" s="17"/>
      <c r="G61" s="17"/>
      <c r="H61" s="18"/>
    </row>
    <row r="62" customFormat="false" ht="14.25" hidden="false" customHeight="false" outlineLevel="0" collapsed="false">
      <c r="A62" s="4" t="n">
        <f aca="false">A42+7</f>
        <v>45953</v>
      </c>
      <c r="B62" s="5" t="s">
        <v>8</v>
      </c>
      <c r="C62" s="5" t="s">
        <v>9</v>
      </c>
      <c r="D62" s="5" t="s">
        <v>33</v>
      </c>
      <c r="E62" s="6" t="n">
        <v>1</v>
      </c>
      <c r="F62" s="6" t="n">
        <v>2</v>
      </c>
      <c r="G62" s="5" t="s">
        <v>17</v>
      </c>
      <c r="H62" s="7" t="s">
        <v>27</v>
      </c>
    </row>
    <row r="63" customFormat="false" ht="14.25" hidden="false" customHeight="false" outlineLevel="0" collapsed="false">
      <c r="A63" s="8" t="n">
        <f aca="false">A62</f>
        <v>45953</v>
      </c>
      <c r="B63" s="10" t="s">
        <v>8</v>
      </c>
      <c r="C63" s="10" t="s">
        <v>28</v>
      </c>
      <c r="D63" s="10" t="s">
        <v>29</v>
      </c>
      <c r="E63" s="11" t="n">
        <v>1</v>
      </c>
      <c r="F63" s="11" t="n">
        <v>2</v>
      </c>
      <c r="G63" s="10" t="s">
        <v>20</v>
      </c>
      <c r="H63" s="12" t="s">
        <v>12</v>
      </c>
    </row>
    <row r="64" customFormat="false" ht="14.25" hidden="false" customHeight="false" outlineLevel="0" collapsed="false">
      <c r="A64" s="8" t="n">
        <f aca="false">A63</f>
        <v>45953</v>
      </c>
      <c r="B64" s="10" t="s">
        <v>8</v>
      </c>
      <c r="C64" s="10" t="s">
        <v>28</v>
      </c>
      <c r="D64" s="10" t="s">
        <v>29</v>
      </c>
      <c r="E64" s="11" t="n">
        <v>2</v>
      </c>
      <c r="F64" s="11" t="n">
        <v>1</v>
      </c>
      <c r="G64" s="10" t="s">
        <v>27</v>
      </c>
      <c r="H64" s="12" t="s">
        <v>33</v>
      </c>
    </row>
    <row r="65" customFormat="false" ht="14.25" hidden="false" customHeight="false" outlineLevel="0" collapsed="false">
      <c r="A65" s="8" t="n">
        <f aca="false">A64</f>
        <v>45953</v>
      </c>
      <c r="B65" s="10" t="s">
        <v>8</v>
      </c>
      <c r="C65" s="10" t="s">
        <v>28</v>
      </c>
      <c r="D65" s="10" t="s">
        <v>29</v>
      </c>
      <c r="E65" s="11" t="n">
        <v>2</v>
      </c>
      <c r="F65" s="11" t="n">
        <v>1</v>
      </c>
      <c r="G65" s="10" t="s">
        <v>27</v>
      </c>
      <c r="H65" s="12" t="s">
        <v>33</v>
      </c>
    </row>
    <row r="66" customFormat="false" ht="14.25" hidden="false" customHeight="false" outlineLevel="0" collapsed="false">
      <c r="A66" s="8" t="n">
        <f aca="false">A65</f>
        <v>45953</v>
      </c>
      <c r="B66" s="10" t="s">
        <v>8</v>
      </c>
      <c r="C66" s="10" t="s">
        <v>17</v>
      </c>
      <c r="D66" s="10" t="s">
        <v>12</v>
      </c>
      <c r="E66" s="11" t="n">
        <v>3</v>
      </c>
      <c r="F66" s="11" t="n">
        <v>0</v>
      </c>
      <c r="G66" s="10" t="s">
        <v>20</v>
      </c>
      <c r="H66" s="12" t="s">
        <v>27</v>
      </c>
    </row>
    <row r="67" customFormat="false" ht="14.25" hidden="false" customHeight="false" outlineLevel="0" collapsed="false">
      <c r="A67" s="8" t="n">
        <f aca="false">A66</f>
        <v>45953</v>
      </c>
      <c r="B67" s="10" t="s">
        <v>8</v>
      </c>
      <c r="C67" s="10" t="s">
        <v>12</v>
      </c>
      <c r="D67" s="10" t="s">
        <v>22</v>
      </c>
      <c r="E67" s="11" t="n">
        <v>2</v>
      </c>
      <c r="F67" s="11" t="n">
        <v>1</v>
      </c>
      <c r="G67" s="10" t="s">
        <v>9</v>
      </c>
      <c r="H67" s="12" t="s">
        <v>17</v>
      </c>
    </row>
    <row r="68" customFormat="false" ht="14.25" hidden="false" customHeight="false" outlineLevel="0" collapsed="false">
      <c r="A68" s="8" t="n">
        <f aca="false">A67</f>
        <v>45953</v>
      </c>
      <c r="B68" s="10" t="s">
        <v>8</v>
      </c>
      <c r="C68" s="10" t="s">
        <v>28</v>
      </c>
      <c r="D68" s="10" t="s">
        <v>20</v>
      </c>
      <c r="E68" s="11" t="n">
        <v>2</v>
      </c>
      <c r="F68" s="11" t="n">
        <v>1</v>
      </c>
      <c r="G68" s="10" t="s">
        <v>27</v>
      </c>
      <c r="H68" s="12" t="s">
        <v>17</v>
      </c>
    </row>
    <row r="69" customFormat="false" ht="14.25" hidden="false" customHeight="false" outlineLevel="0" collapsed="false">
      <c r="A69" s="8" t="n">
        <f aca="false">A68</f>
        <v>45953</v>
      </c>
      <c r="B69" s="10" t="s">
        <v>8</v>
      </c>
      <c r="C69" s="10" t="s">
        <v>9</v>
      </c>
      <c r="D69" s="10" t="s">
        <v>22</v>
      </c>
      <c r="E69" s="11" t="n">
        <v>2</v>
      </c>
      <c r="F69" s="11" t="n">
        <v>1</v>
      </c>
      <c r="G69" s="10" t="s">
        <v>29</v>
      </c>
      <c r="H69" s="12" t="s">
        <v>12</v>
      </c>
    </row>
    <row r="70" customFormat="false" ht="14.25" hidden="false" customHeight="false" outlineLevel="0" collapsed="false">
      <c r="A70" s="8" t="n">
        <f aca="false">A69</f>
        <v>45953</v>
      </c>
      <c r="B70" s="10" t="s">
        <v>8</v>
      </c>
      <c r="C70" s="10" t="s">
        <v>12</v>
      </c>
      <c r="D70" s="10" t="s">
        <v>27</v>
      </c>
      <c r="E70" s="11" t="n">
        <v>2</v>
      </c>
      <c r="F70" s="11" t="n">
        <v>1</v>
      </c>
      <c r="G70" s="10" t="s">
        <v>20</v>
      </c>
      <c r="H70" s="12" t="s">
        <v>33</v>
      </c>
    </row>
    <row r="71" customFormat="false" ht="14.25" hidden="false" customHeight="false" outlineLevel="0" collapsed="false">
      <c r="A71" s="8" t="n">
        <f aca="false">A70</f>
        <v>45953</v>
      </c>
      <c r="B71" s="10" t="s">
        <v>8</v>
      </c>
      <c r="C71" s="10" t="s">
        <v>9</v>
      </c>
      <c r="D71" s="10" t="s">
        <v>22</v>
      </c>
      <c r="E71" s="11" t="n">
        <v>2</v>
      </c>
      <c r="F71" s="11" t="n">
        <v>1</v>
      </c>
      <c r="G71" s="10" t="s">
        <v>29</v>
      </c>
      <c r="H71" s="12" t="s">
        <v>17</v>
      </c>
    </row>
    <row r="72" customFormat="false" ht="14.25" hidden="false" customHeight="false" outlineLevel="0" collapsed="false">
      <c r="A72" s="8" t="n">
        <f aca="false">A71</f>
        <v>45953</v>
      </c>
      <c r="B72" s="10" t="s">
        <v>19</v>
      </c>
      <c r="C72" s="13"/>
      <c r="D72" s="13"/>
      <c r="E72" s="13"/>
      <c r="F72" s="13"/>
      <c r="G72" s="13"/>
      <c r="H72" s="14"/>
    </row>
    <row r="73" customFormat="false" ht="15" hidden="false" customHeight="true" outlineLevel="0" collapsed="false">
      <c r="A73" s="8" t="n">
        <f aca="false">A72</f>
        <v>45953</v>
      </c>
      <c r="B73" s="10" t="s">
        <v>19</v>
      </c>
      <c r="C73" s="13"/>
      <c r="D73" s="13"/>
      <c r="E73" s="13"/>
      <c r="F73" s="13"/>
      <c r="G73" s="13"/>
      <c r="H73" s="14"/>
    </row>
    <row r="74" customFormat="false" ht="14.25" hidden="false" customHeight="false" outlineLevel="0" collapsed="false">
      <c r="A74" s="8" t="n">
        <f aca="false">A73</f>
        <v>45953</v>
      </c>
      <c r="B74" s="10" t="s">
        <v>19</v>
      </c>
      <c r="C74" s="13"/>
      <c r="D74" s="13"/>
      <c r="E74" s="13"/>
      <c r="F74" s="13"/>
      <c r="G74" s="13"/>
      <c r="H74" s="14"/>
    </row>
    <row r="75" customFormat="false" ht="14.25" hidden="false" customHeight="false" outlineLevel="0" collapsed="false">
      <c r="A75" s="8" t="n">
        <f aca="false">A74</f>
        <v>45953</v>
      </c>
      <c r="B75" s="10" t="s">
        <v>19</v>
      </c>
      <c r="C75" s="13"/>
      <c r="D75" s="13"/>
      <c r="E75" s="13"/>
      <c r="F75" s="13"/>
      <c r="G75" s="13"/>
      <c r="H75" s="14"/>
    </row>
    <row r="76" customFormat="false" ht="14.25" hidden="false" customHeight="false" outlineLevel="0" collapsed="false">
      <c r="A76" s="8" t="n">
        <f aca="false">A75</f>
        <v>45953</v>
      </c>
      <c r="B76" s="10" t="s">
        <v>19</v>
      </c>
      <c r="C76" s="13"/>
      <c r="D76" s="13"/>
      <c r="E76" s="13"/>
      <c r="F76" s="13"/>
      <c r="G76" s="13"/>
      <c r="H76" s="14"/>
    </row>
    <row r="77" customFormat="false" ht="14.25" hidden="false" customHeight="false" outlineLevel="0" collapsed="false">
      <c r="A77" s="8" t="n">
        <f aca="false">A76</f>
        <v>45953</v>
      </c>
      <c r="B77" s="10" t="s">
        <v>19</v>
      </c>
      <c r="C77" s="13"/>
      <c r="D77" s="13"/>
      <c r="E77" s="13"/>
      <c r="F77" s="13"/>
      <c r="G77" s="13"/>
      <c r="H77" s="14"/>
    </row>
    <row r="78" customFormat="false" ht="14.25" hidden="false" customHeight="false" outlineLevel="0" collapsed="false">
      <c r="A78" s="8" t="n">
        <f aca="false">A77</f>
        <v>45953</v>
      </c>
      <c r="B78" s="10" t="s">
        <v>19</v>
      </c>
      <c r="C78" s="13"/>
      <c r="D78" s="13"/>
      <c r="E78" s="13"/>
      <c r="F78" s="13"/>
      <c r="G78" s="13"/>
      <c r="H78" s="14"/>
    </row>
    <row r="79" customFormat="false" ht="14.25" hidden="false" customHeight="false" outlineLevel="0" collapsed="false">
      <c r="A79" s="8" t="n">
        <f aca="false">A78</f>
        <v>45953</v>
      </c>
      <c r="B79" s="10" t="s">
        <v>19</v>
      </c>
      <c r="C79" s="13"/>
      <c r="D79" s="13"/>
      <c r="E79" s="13"/>
      <c r="F79" s="13"/>
      <c r="G79" s="13"/>
      <c r="H79" s="14"/>
    </row>
    <row r="80" customFormat="false" ht="14.25" hidden="false" customHeight="false" outlineLevel="0" collapsed="false">
      <c r="A80" s="8" t="n">
        <f aca="false">A79</f>
        <v>45953</v>
      </c>
      <c r="B80" s="10" t="s">
        <v>19</v>
      </c>
      <c r="C80" s="13"/>
      <c r="D80" s="13"/>
      <c r="E80" s="13"/>
      <c r="F80" s="13"/>
      <c r="G80" s="13"/>
      <c r="H80" s="14"/>
    </row>
    <row r="81" customFormat="false" ht="14.25" hidden="false" customHeight="false" outlineLevel="0" collapsed="false">
      <c r="A81" s="19" t="n">
        <f aca="false">A80</f>
        <v>45953</v>
      </c>
      <c r="B81" s="20" t="s">
        <v>19</v>
      </c>
      <c r="C81" s="21"/>
      <c r="D81" s="21"/>
      <c r="E81" s="21"/>
      <c r="F81" s="21"/>
      <c r="G81" s="21"/>
      <c r="H81" s="22"/>
    </row>
    <row r="82" customFormat="false" ht="14.25" hidden="false" customHeight="false" outlineLevel="0" collapsed="false">
      <c r="A82" s="4" t="n">
        <f aca="false">A62+7</f>
        <v>45960</v>
      </c>
      <c r="B82" s="5" t="s">
        <v>8</v>
      </c>
      <c r="C82" s="5"/>
      <c r="D82" s="5"/>
      <c r="E82" s="5"/>
      <c r="F82" s="5"/>
      <c r="G82" s="5"/>
      <c r="H82" s="7"/>
    </row>
    <row r="83" customFormat="false" ht="14.25" hidden="false" customHeight="false" outlineLevel="0" collapsed="false">
      <c r="A83" s="8" t="n">
        <f aca="false">A82</f>
        <v>45960</v>
      </c>
      <c r="B83" s="10" t="s">
        <v>8</v>
      </c>
      <c r="C83" s="10"/>
      <c r="D83" s="10"/>
      <c r="E83" s="10"/>
      <c r="F83" s="10"/>
      <c r="G83" s="10"/>
      <c r="H83" s="12"/>
    </row>
    <row r="84" customFormat="false" ht="14.25" hidden="false" customHeight="false" outlineLevel="0" collapsed="false">
      <c r="A84" s="8" t="n">
        <f aca="false">A83</f>
        <v>45960</v>
      </c>
      <c r="B84" s="10" t="s">
        <v>8</v>
      </c>
      <c r="C84" s="10"/>
      <c r="D84" s="10"/>
      <c r="E84" s="10"/>
      <c r="F84" s="10"/>
      <c r="G84" s="10"/>
      <c r="H84" s="12"/>
    </row>
    <row r="85" customFormat="false" ht="15" hidden="false" customHeight="true" outlineLevel="0" collapsed="false">
      <c r="A85" s="8" t="n">
        <f aca="false">A84</f>
        <v>45960</v>
      </c>
      <c r="B85" s="10" t="s">
        <v>8</v>
      </c>
      <c r="C85" s="10"/>
      <c r="D85" s="10"/>
      <c r="E85" s="10"/>
      <c r="F85" s="10"/>
      <c r="G85" s="10"/>
      <c r="H85" s="12"/>
    </row>
    <row r="86" customFormat="false" ht="14.25" hidden="false" customHeight="false" outlineLevel="0" collapsed="false">
      <c r="A86" s="8" t="n">
        <f aca="false">A85</f>
        <v>45960</v>
      </c>
      <c r="B86" s="10" t="s">
        <v>8</v>
      </c>
      <c r="C86" s="10"/>
      <c r="D86" s="10"/>
      <c r="E86" s="10"/>
      <c r="F86" s="10"/>
      <c r="G86" s="10"/>
      <c r="H86" s="12"/>
    </row>
    <row r="87" customFormat="false" ht="14.25" hidden="false" customHeight="false" outlineLevel="0" collapsed="false">
      <c r="A87" s="8" t="n">
        <f aca="false">A86</f>
        <v>45960</v>
      </c>
      <c r="B87" s="10" t="s">
        <v>8</v>
      </c>
      <c r="C87" s="10"/>
      <c r="D87" s="10"/>
      <c r="E87" s="10"/>
      <c r="F87" s="10"/>
      <c r="G87" s="10"/>
      <c r="H87" s="12"/>
    </row>
    <row r="88" customFormat="false" ht="14.25" hidden="false" customHeight="false" outlineLevel="0" collapsed="false">
      <c r="A88" s="8" t="n">
        <f aca="false">A87</f>
        <v>45960</v>
      </c>
      <c r="B88" s="10" t="s">
        <v>8</v>
      </c>
      <c r="C88" s="10"/>
      <c r="D88" s="10"/>
      <c r="E88" s="10"/>
      <c r="F88" s="10"/>
      <c r="G88" s="10"/>
      <c r="H88" s="12"/>
    </row>
    <row r="89" customFormat="false" ht="14.25" hidden="false" customHeight="false" outlineLevel="0" collapsed="false">
      <c r="A89" s="8" t="n">
        <f aca="false">A88</f>
        <v>45960</v>
      </c>
      <c r="B89" s="10" t="s">
        <v>8</v>
      </c>
      <c r="C89" s="10"/>
      <c r="D89" s="10"/>
      <c r="E89" s="10"/>
      <c r="F89" s="10"/>
      <c r="G89" s="10"/>
      <c r="H89" s="12"/>
    </row>
    <row r="90" customFormat="false" ht="14.25" hidden="false" customHeight="false" outlineLevel="0" collapsed="false">
      <c r="A90" s="8" t="n">
        <f aca="false">A89</f>
        <v>45960</v>
      </c>
      <c r="B90" s="10" t="s">
        <v>8</v>
      </c>
      <c r="C90" s="10"/>
      <c r="D90" s="10"/>
      <c r="E90" s="10"/>
      <c r="F90" s="10"/>
      <c r="G90" s="10"/>
      <c r="H90" s="12"/>
    </row>
    <row r="91" customFormat="false" ht="14.25" hidden="false" customHeight="false" outlineLevel="0" collapsed="false">
      <c r="A91" s="8" t="n">
        <f aca="false">A90</f>
        <v>45960</v>
      </c>
      <c r="B91" s="10" t="s">
        <v>8</v>
      </c>
      <c r="C91" s="10"/>
      <c r="D91" s="10"/>
      <c r="E91" s="10"/>
      <c r="F91" s="10"/>
      <c r="G91" s="10"/>
      <c r="H91" s="12"/>
    </row>
    <row r="92" customFormat="false" ht="14.25" hidden="false" customHeight="false" outlineLevel="0" collapsed="false">
      <c r="A92" s="8" t="n">
        <f aca="false">A91</f>
        <v>45960</v>
      </c>
      <c r="B92" s="10" t="s">
        <v>19</v>
      </c>
      <c r="C92" s="13"/>
      <c r="D92" s="13"/>
      <c r="E92" s="13"/>
      <c r="F92" s="13"/>
      <c r="G92" s="13"/>
      <c r="H92" s="14"/>
    </row>
    <row r="93" customFormat="false" ht="14.25" hidden="false" customHeight="false" outlineLevel="0" collapsed="false">
      <c r="A93" s="8" t="n">
        <f aca="false">A92</f>
        <v>45960</v>
      </c>
      <c r="B93" s="10" t="s">
        <v>19</v>
      </c>
      <c r="C93" s="13"/>
      <c r="D93" s="13"/>
      <c r="E93" s="13"/>
      <c r="F93" s="13"/>
      <c r="G93" s="13"/>
      <c r="H93" s="14"/>
    </row>
    <row r="94" customFormat="false" ht="14.25" hidden="false" customHeight="false" outlineLevel="0" collapsed="false">
      <c r="A94" s="8" t="n">
        <f aca="false">A93</f>
        <v>45960</v>
      </c>
      <c r="B94" s="10" t="s">
        <v>19</v>
      </c>
      <c r="C94" s="13"/>
      <c r="D94" s="13"/>
      <c r="E94" s="13"/>
      <c r="F94" s="13"/>
      <c r="G94" s="13"/>
      <c r="H94" s="14"/>
    </row>
    <row r="95" customFormat="false" ht="14.25" hidden="false" customHeight="false" outlineLevel="0" collapsed="false">
      <c r="A95" s="8" t="n">
        <f aca="false">A94</f>
        <v>45960</v>
      </c>
      <c r="B95" s="10" t="s">
        <v>19</v>
      </c>
      <c r="C95" s="13"/>
      <c r="D95" s="13"/>
      <c r="E95" s="13"/>
      <c r="F95" s="13"/>
      <c r="G95" s="13"/>
      <c r="H95" s="14"/>
    </row>
    <row r="96" customFormat="false" ht="14.25" hidden="false" customHeight="false" outlineLevel="0" collapsed="false">
      <c r="A96" s="8" t="n">
        <f aca="false">A95</f>
        <v>45960</v>
      </c>
      <c r="B96" s="10" t="s">
        <v>19</v>
      </c>
      <c r="C96" s="13"/>
      <c r="D96" s="13"/>
      <c r="E96" s="13"/>
      <c r="F96" s="13"/>
      <c r="G96" s="13"/>
      <c r="H96" s="14"/>
    </row>
    <row r="97" customFormat="false" ht="15" hidden="false" customHeight="true" outlineLevel="0" collapsed="false">
      <c r="A97" s="8" t="n">
        <f aca="false">A96</f>
        <v>45960</v>
      </c>
      <c r="B97" s="10" t="s">
        <v>19</v>
      </c>
      <c r="C97" s="13"/>
      <c r="D97" s="13"/>
      <c r="E97" s="13"/>
      <c r="F97" s="13"/>
      <c r="G97" s="13"/>
      <c r="H97" s="14"/>
    </row>
    <row r="98" customFormat="false" ht="14.25" hidden="false" customHeight="false" outlineLevel="0" collapsed="false">
      <c r="A98" s="8" t="n">
        <f aca="false">A97</f>
        <v>45960</v>
      </c>
      <c r="B98" s="10" t="s">
        <v>19</v>
      </c>
      <c r="C98" s="13"/>
      <c r="D98" s="13"/>
      <c r="E98" s="13"/>
      <c r="F98" s="13"/>
      <c r="G98" s="13"/>
      <c r="H98" s="14"/>
    </row>
    <row r="99" customFormat="false" ht="14.25" hidden="false" customHeight="false" outlineLevel="0" collapsed="false">
      <c r="A99" s="8" t="n">
        <f aca="false">A98</f>
        <v>45960</v>
      </c>
      <c r="B99" s="10" t="s">
        <v>19</v>
      </c>
      <c r="C99" s="13"/>
      <c r="D99" s="13"/>
      <c r="E99" s="13"/>
      <c r="F99" s="13"/>
      <c r="G99" s="13"/>
      <c r="H99" s="14"/>
    </row>
    <row r="100" customFormat="false" ht="14.25" hidden="false" customHeight="false" outlineLevel="0" collapsed="false">
      <c r="A100" s="8" t="n">
        <f aca="false">A99</f>
        <v>45960</v>
      </c>
      <c r="B100" s="10" t="s">
        <v>19</v>
      </c>
      <c r="C100" s="13"/>
      <c r="D100" s="13"/>
      <c r="E100" s="13"/>
      <c r="F100" s="13"/>
      <c r="G100" s="13"/>
      <c r="H100" s="14"/>
    </row>
    <row r="101" customFormat="false" ht="14.25" hidden="false" customHeight="false" outlineLevel="0" collapsed="false">
      <c r="A101" s="19" t="n">
        <f aca="false">A100</f>
        <v>45960</v>
      </c>
      <c r="B101" s="20" t="s">
        <v>19</v>
      </c>
      <c r="C101" s="21"/>
      <c r="D101" s="21"/>
      <c r="E101" s="21"/>
      <c r="F101" s="21"/>
      <c r="G101" s="21"/>
      <c r="H101" s="22"/>
    </row>
    <row r="102" customFormat="false" ht="14.25" hidden="false" customHeight="false" outlineLevel="0" collapsed="false">
      <c r="A102" s="4" t="n">
        <f aca="false">A82+7</f>
        <v>45967</v>
      </c>
      <c r="B102" s="5" t="s">
        <v>8</v>
      </c>
      <c r="C102" s="5" t="s">
        <v>34</v>
      </c>
      <c r="D102" s="5" t="s">
        <v>35</v>
      </c>
      <c r="E102" s="6" t="n">
        <v>0</v>
      </c>
      <c r="F102" s="6" t="n">
        <v>3</v>
      </c>
      <c r="G102" s="5" t="s">
        <v>36</v>
      </c>
      <c r="H102" s="7" t="s">
        <v>31</v>
      </c>
    </row>
    <row r="103" customFormat="false" ht="14.25" hidden="false" customHeight="false" outlineLevel="0" collapsed="false">
      <c r="A103" s="8" t="n">
        <f aca="false">A102</f>
        <v>45967</v>
      </c>
      <c r="B103" s="10" t="s">
        <v>8</v>
      </c>
      <c r="C103" s="10" t="s">
        <v>29</v>
      </c>
      <c r="D103" s="10" t="s">
        <v>12</v>
      </c>
      <c r="E103" s="23" t="n">
        <v>2</v>
      </c>
      <c r="F103" s="23" t="n">
        <v>1</v>
      </c>
      <c r="G103" s="10" t="s">
        <v>13</v>
      </c>
      <c r="H103" s="12" t="s">
        <v>10</v>
      </c>
    </row>
    <row r="104" customFormat="false" ht="14.25" hidden="false" customHeight="false" outlineLevel="0" collapsed="false">
      <c r="A104" s="8" t="n">
        <f aca="false">A103</f>
        <v>45967</v>
      </c>
      <c r="B104" s="10" t="s">
        <v>8</v>
      </c>
      <c r="C104" s="10" t="s">
        <v>13</v>
      </c>
      <c r="D104" s="10" t="s">
        <v>29</v>
      </c>
      <c r="E104" s="23" t="n">
        <v>2</v>
      </c>
      <c r="F104" s="23" t="n">
        <v>1</v>
      </c>
      <c r="G104" s="10" t="s">
        <v>12</v>
      </c>
      <c r="H104" s="12" t="s">
        <v>22</v>
      </c>
    </row>
    <row r="105" customFormat="false" ht="14.25" hidden="false" customHeight="false" outlineLevel="0" collapsed="false">
      <c r="A105" s="8" t="n">
        <f aca="false">A104</f>
        <v>45967</v>
      </c>
      <c r="B105" s="10" t="s">
        <v>8</v>
      </c>
      <c r="C105" s="10" t="s">
        <v>10</v>
      </c>
      <c r="D105" s="10" t="s">
        <v>33</v>
      </c>
      <c r="E105" s="23" t="n">
        <v>1</v>
      </c>
      <c r="F105" s="23" t="n">
        <v>2</v>
      </c>
      <c r="G105" s="10" t="s">
        <v>27</v>
      </c>
      <c r="H105" s="12" t="s">
        <v>28</v>
      </c>
    </row>
    <row r="106" customFormat="false" ht="14.25" hidden="false" customHeight="false" outlineLevel="0" collapsed="false">
      <c r="A106" s="8" t="n">
        <f aca="false">A105</f>
        <v>45967</v>
      </c>
      <c r="B106" s="10" t="s">
        <v>8</v>
      </c>
      <c r="C106" s="10" t="s">
        <v>23</v>
      </c>
      <c r="D106" s="10" t="s">
        <v>36</v>
      </c>
      <c r="E106" s="23" t="n">
        <v>1</v>
      </c>
      <c r="F106" s="23" t="n">
        <v>2</v>
      </c>
      <c r="G106" s="10" t="s">
        <v>31</v>
      </c>
      <c r="H106" s="12" t="s">
        <v>22</v>
      </c>
    </row>
    <row r="107" customFormat="false" ht="14.25" hidden="false" customHeight="false" outlineLevel="0" collapsed="false">
      <c r="A107" s="8" t="n">
        <f aca="false">A106</f>
        <v>45967</v>
      </c>
      <c r="B107" s="10" t="s">
        <v>8</v>
      </c>
      <c r="C107" s="10" t="s">
        <v>17</v>
      </c>
      <c r="D107" s="10" t="s">
        <v>34</v>
      </c>
      <c r="E107" s="23" t="n">
        <v>2</v>
      </c>
      <c r="F107" s="23" t="n">
        <v>1</v>
      </c>
      <c r="G107" s="10" t="s">
        <v>35</v>
      </c>
      <c r="H107" s="12" t="s">
        <v>33</v>
      </c>
    </row>
    <row r="108" customFormat="false" ht="14.25" hidden="false" customHeight="false" outlineLevel="0" collapsed="false">
      <c r="A108" s="8" t="n">
        <f aca="false">A107</f>
        <v>45967</v>
      </c>
      <c r="B108" s="10" t="s">
        <v>8</v>
      </c>
      <c r="C108" s="10" t="s">
        <v>29</v>
      </c>
      <c r="D108" s="10" t="s">
        <v>31</v>
      </c>
      <c r="E108" s="23" t="n">
        <v>3</v>
      </c>
      <c r="F108" s="23" t="n">
        <v>0</v>
      </c>
      <c r="G108" s="10" t="s">
        <v>10</v>
      </c>
      <c r="H108" s="12" t="s">
        <v>36</v>
      </c>
    </row>
    <row r="109" customFormat="false" ht="15" hidden="false" customHeight="true" outlineLevel="0" collapsed="false">
      <c r="A109" s="8" t="n">
        <f aca="false">A108</f>
        <v>45967</v>
      </c>
      <c r="B109" s="10" t="s">
        <v>8</v>
      </c>
      <c r="C109" s="10" t="s">
        <v>13</v>
      </c>
      <c r="D109" s="10" t="s">
        <v>23</v>
      </c>
      <c r="E109" s="23" t="n">
        <v>2</v>
      </c>
      <c r="F109" s="23" t="n">
        <v>1</v>
      </c>
      <c r="G109" s="10" t="s">
        <v>22</v>
      </c>
      <c r="H109" s="12" t="s">
        <v>12</v>
      </c>
    </row>
    <row r="110" customFormat="false" ht="14.25" hidden="false" customHeight="false" outlineLevel="0" collapsed="false">
      <c r="A110" s="8" t="n">
        <f aca="false">A109</f>
        <v>45967</v>
      </c>
      <c r="B110" s="10" t="s">
        <v>8</v>
      </c>
      <c r="C110" s="10" t="s">
        <v>28</v>
      </c>
      <c r="D110" s="10" t="s">
        <v>34</v>
      </c>
      <c r="E110" s="23" t="n">
        <v>1</v>
      </c>
      <c r="F110" s="23" t="n">
        <v>2</v>
      </c>
      <c r="G110" s="10" t="s">
        <v>27</v>
      </c>
      <c r="H110" s="12" t="s">
        <v>17</v>
      </c>
    </row>
    <row r="111" customFormat="false" ht="14.25" hidden="false" customHeight="false" outlineLevel="0" collapsed="false">
      <c r="A111" s="8" t="n">
        <f aca="false">A110</f>
        <v>45967</v>
      </c>
      <c r="B111" s="10" t="s">
        <v>8</v>
      </c>
      <c r="C111" s="10" t="s">
        <v>31</v>
      </c>
      <c r="D111" s="10" t="s">
        <v>36</v>
      </c>
      <c r="E111" s="23" t="n">
        <v>3</v>
      </c>
      <c r="F111" s="23" t="n">
        <v>0</v>
      </c>
      <c r="G111" s="10" t="s">
        <v>33</v>
      </c>
      <c r="H111" s="12" t="s">
        <v>10</v>
      </c>
    </row>
    <row r="112" customFormat="false" ht="14.25" hidden="false" customHeight="false" outlineLevel="0" collapsed="false">
      <c r="A112" s="8" t="n">
        <f aca="false">A111</f>
        <v>45967</v>
      </c>
      <c r="B112" s="10" t="s">
        <v>19</v>
      </c>
      <c r="C112" s="10" t="s">
        <v>29</v>
      </c>
      <c r="D112" s="10" t="s">
        <v>28</v>
      </c>
      <c r="E112" s="23" t="n">
        <v>3</v>
      </c>
      <c r="F112" s="23" t="n">
        <v>0</v>
      </c>
      <c r="G112" s="10" t="s">
        <v>34</v>
      </c>
      <c r="H112" s="12" t="s">
        <v>17</v>
      </c>
    </row>
    <row r="113" customFormat="false" ht="14.25" hidden="false" customHeight="false" outlineLevel="0" collapsed="false">
      <c r="A113" s="8" t="n">
        <f aca="false">A112</f>
        <v>45967</v>
      </c>
      <c r="B113" s="10" t="s">
        <v>19</v>
      </c>
      <c r="C113" s="10" t="s">
        <v>23</v>
      </c>
      <c r="D113" s="10" t="s">
        <v>10</v>
      </c>
      <c r="E113" s="23" t="n">
        <v>2</v>
      </c>
      <c r="F113" s="23" t="n">
        <v>1</v>
      </c>
      <c r="G113" s="10" t="s">
        <v>31</v>
      </c>
      <c r="H113" s="12" t="s">
        <v>13</v>
      </c>
    </row>
    <row r="114" customFormat="false" ht="14.25" hidden="false" customHeight="false" outlineLevel="0" collapsed="false">
      <c r="A114" s="8" t="n">
        <f aca="false">A113</f>
        <v>45967</v>
      </c>
      <c r="B114" s="10" t="s">
        <v>19</v>
      </c>
      <c r="C114" s="10" t="s">
        <v>17</v>
      </c>
      <c r="D114" s="10" t="s">
        <v>36</v>
      </c>
      <c r="E114" s="23" t="n">
        <v>2</v>
      </c>
      <c r="F114" s="23" t="n">
        <v>1</v>
      </c>
      <c r="G114" s="10" t="s">
        <v>27</v>
      </c>
      <c r="H114" s="12" t="s">
        <v>28</v>
      </c>
    </row>
    <row r="115" customFormat="false" ht="14.25" hidden="false" customHeight="false" outlineLevel="0" collapsed="false">
      <c r="A115" s="8" t="n">
        <f aca="false">A114</f>
        <v>45967</v>
      </c>
      <c r="B115" s="10" t="s">
        <v>19</v>
      </c>
      <c r="C115" s="10" t="s">
        <v>22</v>
      </c>
      <c r="D115" s="10" t="s">
        <v>23</v>
      </c>
      <c r="E115" s="23" t="n">
        <v>3</v>
      </c>
      <c r="F115" s="23" t="n">
        <v>0</v>
      </c>
      <c r="G115" s="10" t="s">
        <v>34</v>
      </c>
      <c r="H115" s="12" t="s">
        <v>12</v>
      </c>
    </row>
    <row r="116" customFormat="false" ht="14.25" hidden="false" customHeight="false" outlineLevel="0" collapsed="false">
      <c r="A116" s="8" t="n">
        <f aca="false">A115</f>
        <v>45967</v>
      </c>
      <c r="B116" s="10" t="s">
        <v>19</v>
      </c>
      <c r="C116" s="10" t="s">
        <v>27</v>
      </c>
      <c r="D116" s="10" t="s">
        <v>10</v>
      </c>
      <c r="E116" s="23" t="n">
        <v>2</v>
      </c>
      <c r="F116" s="23" t="n">
        <v>1</v>
      </c>
      <c r="G116" s="10" t="s">
        <v>28</v>
      </c>
      <c r="H116" s="12" t="s">
        <v>31</v>
      </c>
    </row>
    <row r="117" customFormat="false" ht="14.25" hidden="false" customHeight="false" outlineLevel="0" collapsed="false">
      <c r="A117" s="8" t="n">
        <f aca="false">A116</f>
        <v>45967</v>
      </c>
      <c r="B117" s="10" t="s">
        <v>19</v>
      </c>
      <c r="C117" s="10" t="s">
        <v>36</v>
      </c>
      <c r="D117" s="10" t="s">
        <v>12</v>
      </c>
      <c r="E117" s="23" t="n">
        <v>3</v>
      </c>
      <c r="F117" s="23" t="n">
        <v>0</v>
      </c>
      <c r="G117" s="10" t="s">
        <v>34</v>
      </c>
      <c r="H117" s="12" t="s">
        <v>23</v>
      </c>
    </row>
    <row r="118" customFormat="false" ht="14.25" hidden="false" customHeight="false" outlineLevel="0" collapsed="false">
      <c r="A118" s="8" t="n">
        <f aca="false">A117</f>
        <v>45967</v>
      </c>
      <c r="B118" s="10" t="s">
        <v>19</v>
      </c>
      <c r="C118" s="10"/>
      <c r="D118" s="10"/>
      <c r="E118" s="10"/>
      <c r="F118" s="10"/>
      <c r="G118" s="10"/>
      <c r="H118" s="12"/>
    </row>
    <row r="119" customFormat="false" ht="14.25" hidden="false" customHeight="false" outlineLevel="0" collapsed="false">
      <c r="A119" s="8" t="n">
        <f aca="false">A118</f>
        <v>45967</v>
      </c>
      <c r="B119" s="10" t="s">
        <v>19</v>
      </c>
      <c r="C119" s="10"/>
      <c r="D119" s="10"/>
      <c r="E119" s="10"/>
      <c r="F119" s="10"/>
      <c r="G119" s="10"/>
      <c r="H119" s="12"/>
    </row>
    <row r="120" customFormat="false" ht="14.25" hidden="false" customHeight="false" outlineLevel="0" collapsed="false">
      <c r="A120" s="8" t="n">
        <f aca="false">A119</f>
        <v>45967</v>
      </c>
      <c r="B120" s="10" t="s">
        <v>19</v>
      </c>
      <c r="C120" s="10"/>
      <c r="D120" s="10"/>
      <c r="E120" s="10"/>
      <c r="F120" s="10"/>
      <c r="G120" s="10"/>
      <c r="H120" s="12"/>
    </row>
    <row r="121" customFormat="false" ht="15" hidden="false" customHeight="true" outlineLevel="0" collapsed="false">
      <c r="A121" s="19" t="n">
        <f aca="false">A120</f>
        <v>45967</v>
      </c>
      <c r="B121" s="20" t="s">
        <v>19</v>
      </c>
      <c r="C121" s="20"/>
      <c r="D121" s="20"/>
      <c r="E121" s="20"/>
      <c r="F121" s="20"/>
      <c r="G121" s="20"/>
      <c r="H121" s="24"/>
    </row>
    <row r="122" customFormat="false" ht="14.25" hidden="false" customHeight="false" outlineLevel="0" collapsed="false">
      <c r="A122" s="4" t="n">
        <f aca="false">A73+7</f>
        <v>45960</v>
      </c>
      <c r="B122" s="5" t="s">
        <v>8</v>
      </c>
      <c r="C122" s="5"/>
      <c r="D122" s="5"/>
      <c r="E122" s="5"/>
      <c r="F122" s="5"/>
      <c r="G122" s="5"/>
      <c r="H122" s="7"/>
    </row>
    <row r="123" customFormat="false" ht="14.25" hidden="false" customHeight="false" outlineLevel="0" collapsed="false">
      <c r="A123" s="8" t="n">
        <f aca="false">A74</f>
        <v>45953</v>
      </c>
      <c r="B123" s="10" t="s">
        <v>8</v>
      </c>
      <c r="C123" s="10"/>
      <c r="D123" s="10"/>
      <c r="E123" s="10"/>
      <c r="F123" s="10"/>
      <c r="G123" s="10"/>
      <c r="H123" s="12"/>
    </row>
    <row r="124" customFormat="false" ht="14.25" hidden="false" customHeight="false" outlineLevel="0" collapsed="false">
      <c r="A124" s="8" t="n">
        <f aca="false">A75</f>
        <v>45953</v>
      </c>
      <c r="B124" s="10" t="s">
        <v>8</v>
      </c>
      <c r="C124" s="10"/>
      <c r="D124" s="10"/>
      <c r="E124" s="10"/>
      <c r="F124" s="10"/>
      <c r="G124" s="10"/>
      <c r="H124" s="12"/>
    </row>
    <row r="125" customFormat="false" ht="14.25" hidden="false" customHeight="false" outlineLevel="0" collapsed="false">
      <c r="A125" s="8" t="n">
        <f aca="false">A76</f>
        <v>45953</v>
      </c>
      <c r="B125" s="10" t="s">
        <v>8</v>
      </c>
      <c r="C125" s="10"/>
      <c r="D125" s="10"/>
      <c r="E125" s="10"/>
      <c r="F125" s="10"/>
      <c r="G125" s="10"/>
      <c r="H125" s="12"/>
    </row>
    <row r="126" customFormat="false" ht="14.25" hidden="false" customHeight="false" outlineLevel="0" collapsed="false">
      <c r="A126" s="8" t="n">
        <f aca="false">A77</f>
        <v>45953</v>
      </c>
      <c r="B126" s="10" t="s">
        <v>8</v>
      </c>
      <c r="C126" s="10"/>
      <c r="D126" s="10"/>
      <c r="E126" s="10"/>
      <c r="F126" s="10"/>
      <c r="G126" s="10"/>
      <c r="H126" s="12"/>
    </row>
    <row r="127" customFormat="false" ht="14.25" hidden="false" customHeight="false" outlineLevel="0" collapsed="false">
      <c r="A127" s="8" t="n">
        <f aca="false">A78</f>
        <v>45953</v>
      </c>
      <c r="B127" s="10" t="s">
        <v>8</v>
      </c>
      <c r="C127" s="10"/>
      <c r="D127" s="10"/>
      <c r="E127" s="10"/>
      <c r="F127" s="10"/>
      <c r="G127" s="10"/>
      <c r="H127" s="12"/>
    </row>
    <row r="128" customFormat="false" ht="14.25" hidden="false" customHeight="false" outlineLevel="0" collapsed="false">
      <c r="A128" s="8" t="n">
        <f aca="false">A79</f>
        <v>45953</v>
      </c>
      <c r="B128" s="10" t="s">
        <v>19</v>
      </c>
      <c r="C128" s="10"/>
      <c r="D128" s="10"/>
      <c r="E128" s="10"/>
      <c r="F128" s="10"/>
      <c r="G128" s="10"/>
      <c r="H128" s="12"/>
    </row>
    <row r="129" customFormat="false" ht="14.25" hidden="false" customHeight="false" outlineLevel="0" collapsed="false">
      <c r="A129" s="8" t="n">
        <f aca="false">A80</f>
        <v>45953</v>
      </c>
      <c r="B129" s="10" t="s">
        <v>19</v>
      </c>
      <c r="C129" s="10"/>
      <c r="D129" s="10"/>
      <c r="E129" s="10"/>
      <c r="F129" s="10"/>
      <c r="G129" s="10"/>
      <c r="H129" s="12"/>
    </row>
    <row r="130" customFormat="false" ht="14.25" hidden="false" customHeight="false" outlineLevel="0" collapsed="false">
      <c r="A130" s="8" t="n">
        <f aca="false">A81</f>
        <v>45953</v>
      </c>
      <c r="B130" s="10" t="s">
        <v>19</v>
      </c>
      <c r="C130" s="10"/>
      <c r="D130" s="10"/>
      <c r="E130" s="10"/>
      <c r="F130" s="10"/>
      <c r="G130" s="10"/>
      <c r="H130" s="12"/>
    </row>
    <row r="131" customFormat="false" ht="14.25" hidden="false" customHeight="false" outlineLevel="0" collapsed="false">
      <c r="A131" s="8" t="n">
        <f aca="false">A82</f>
        <v>45960</v>
      </c>
      <c r="B131" s="10" t="s">
        <v>19</v>
      </c>
      <c r="C131" s="10"/>
      <c r="D131" s="10"/>
      <c r="E131" s="10"/>
      <c r="F131" s="10"/>
      <c r="G131" s="10"/>
      <c r="H131" s="12"/>
    </row>
    <row r="132" customFormat="false" ht="14.25" hidden="false" customHeight="false" outlineLevel="0" collapsed="false">
      <c r="A132" s="8" t="n">
        <f aca="false">A83</f>
        <v>45960</v>
      </c>
      <c r="B132" s="10" t="s">
        <v>19</v>
      </c>
      <c r="C132" s="13"/>
      <c r="D132" s="13"/>
      <c r="E132" s="13"/>
      <c r="F132" s="13"/>
      <c r="G132" s="13"/>
      <c r="H132" s="14"/>
    </row>
    <row r="133" customFormat="false" ht="15" hidden="false" customHeight="true" outlineLevel="0" collapsed="false">
      <c r="A133" s="19" t="n">
        <f aca="false">A84</f>
        <v>45960</v>
      </c>
      <c r="B133" s="20" t="s">
        <v>19</v>
      </c>
      <c r="C133" s="21"/>
      <c r="D133" s="21"/>
      <c r="E133" s="21"/>
      <c r="F133" s="21"/>
      <c r="G133" s="21"/>
      <c r="H133" s="22"/>
    </row>
    <row r="134" customFormat="false" ht="14.25" hidden="false" customHeight="false" outlineLevel="0" collapsed="false">
      <c r="A134" s="0" t="n">
        <f aca="false">A122</f>
        <v>45960</v>
      </c>
    </row>
    <row r="135" customFormat="false" ht="14.25" hidden="false" customHeight="false" outlineLevel="0" collapsed="false">
      <c r="A135" s="0" t="n">
        <f aca="false">A122</f>
        <v>45960</v>
      </c>
    </row>
    <row r="136" customFormat="false" ht="14.25" hidden="false" customHeight="false" outlineLevel="0" collapsed="false">
      <c r="A136" s="0" t="n">
        <f aca="false">A122</f>
        <v>45960</v>
      </c>
    </row>
    <row r="137" customFormat="false" ht="14.25" hidden="false" customHeight="false" outlineLevel="0" collapsed="false">
      <c r="A137" s="0" t="n">
        <f aca="false">A122</f>
        <v>45960</v>
      </c>
    </row>
    <row r="138" customFormat="false" ht="14.25" hidden="false" customHeight="false" outlineLevel="0" collapsed="false">
      <c r="A138" s="0" t="n">
        <f aca="false">A122</f>
        <v>45960</v>
      </c>
    </row>
    <row r="139" customFormat="false" ht="14.25" hidden="false" customHeight="false" outlineLevel="0" collapsed="false">
      <c r="A139" s="0" t="n">
        <f aca="false">A122</f>
        <v>45960</v>
      </c>
    </row>
    <row r="140" customFormat="false" ht="14.25" hidden="false" customHeight="false" outlineLevel="0" collapsed="false">
      <c r="A140" s="0" t="n">
        <f aca="false">A122</f>
        <v>45960</v>
      </c>
    </row>
    <row r="141" customFormat="false" ht="14.25" hidden="false" customHeight="false" outlineLevel="0" collapsed="false">
      <c r="A141" s="0" t="n">
        <f aca="false">A122</f>
        <v>45960</v>
      </c>
    </row>
    <row r="142" customFormat="false" ht="14.25" hidden="false" customHeight="false" outlineLevel="0" collapsed="false">
      <c r="A142" s="4" t="n">
        <f aca="false">A85+7</f>
        <v>45967</v>
      </c>
      <c r="B142" s="5" t="s">
        <v>8</v>
      </c>
      <c r="C142" s="5"/>
      <c r="D142" s="5"/>
      <c r="E142" s="5"/>
      <c r="F142" s="5"/>
      <c r="G142" s="5"/>
      <c r="H142" s="7"/>
    </row>
    <row r="143" customFormat="false" ht="14.25" hidden="false" customHeight="false" outlineLevel="0" collapsed="false">
      <c r="A143" s="8" t="n">
        <f aca="false">A86</f>
        <v>45960</v>
      </c>
      <c r="B143" s="10" t="s">
        <v>8</v>
      </c>
      <c r="C143" s="10"/>
      <c r="D143" s="10"/>
      <c r="E143" s="10"/>
      <c r="F143" s="10"/>
      <c r="G143" s="10"/>
      <c r="H143" s="12"/>
    </row>
    <row r="144" customFormat="false" ht="14.25" hidden="false" customHeight="false" outlineLevel="0" collapsed="false">
      <c r="A144" s="8" t="n">
        <f aca="false">A87</f>
        <v>45960</v>
      </c>
      <c r="B144" s="10" t="s">
        <v>8</v>
      </c>
      <c r="C144" s="10"/>
      <c r="D144" s="10"/>
      <c r="E144" s="10"/>
      <c r="F144" s="10"/>
      <c r="G144" s="10"/>
      <c r="H144" s="12"/>
    </row>
    <row r="145" customFormat="false" ht="15" hidden="false" customHeight="true" outlineLevel="0" collapsed="false">
      <c r="A145" s="8" t="n">
        <f aca="false">A88</f>
        <v>45960</v>
      </c>
      <c r="B145" s="10" t="s">
        <v>8</v>
      </c>
      <c r="C145" s="10"/>
      <c r="D145" s="10"/>
      <c r="E145" s="10"/>
      <c r="F145" s="10"/>
      <c r="G145" s="10"/>
      <c r="H145" s="12"/>
    </row>
    <row r="146" customFormat="false" ht="14.25" hidden="false" customHeight="false" outlineLevel="0" collapsed="false">
      <c r="A146" s="8" t="n">
        <f aca="false">A89</f>
        <v>45960</v>
      </c>
      <c r="B146" s="10" t="s">
        <v>8</v>
      </c>
      <c r="C146" s="10"/>
      <c r="D146" s="10"/>
      <c r="E146" s="10"/>
      <c r="F146" s="10"/>
      <c r="G146" s="10"/>
      <c r="H146" s="12"/>
    </row>
    <row r="147" customFormat="false" ht="14.25" hidden="false" customHeight="false" outlineLevel="0" collapsed="false">
      <c r="A147" s="8" t="n">
        <f aca="false">A90</f>
        <v>45960</v>
      </c>
      <c r="B147" s="10" t="s">
        <v>8</v>
      </c>
      <c r="C147" s="10"/>
      <c r="D147" s="10"/>
      <c r="E147" s="10"/>
      <c r="F147" s="10"/>
      <c r="G147" s="10"/>
      <c r="H147" s="12"/>
    </row>
    <row r="148" customFormat="false" ht="14.25" hidden="false" customHeight="false" outlineLevel="0" collapsed="false">
      <c r="A148" s="8" t="n">
        <f aca="false">A91</f>
        <v>45960</v>
      </c>
      <c r="B148" s="10" t="s">
        <v>19</v>
      </c>
      <c r="C148" s="10"/>
      <c r="D148" s="10"/>
      <c r="E148" s="10"/>
      <c r="F148" s="10"/>
      <c r="G148" s="10"/>
      <c r="H148" s="12"/>
    </row>
    <row r="149" customFormat="false" ht="14.25" hidden="false" customHeight="false" outlineLevel="0" collapsed="false">
      <c r="A149" s="8" t="n">
        <f aca="false">A92</f>
        <v>45960</v>
      </c>
      <c r="B149" s="10" t="s">
        <v>19</v>
      </c>
      <c r="C149" s="10"/>
      <c r="D149" s="10"/>
      <c r="E149" s="10"/>
      <c r="F149" s="10"/>
      <c r="G149" s="10"/>
      <c r="H149" s="12"/>
    </row>
    <row r="150" customFormat="false" ht="14.25" hidden="false" customHeight="false" outlineLevel="0" collapsed="false">
      <c r="A150" s="8" t="n">
        <f aca="false">A93</f>
        <v>45960</v>
      </c>
      <c r="B150" s="10" t="s">
        <v>19</v>
      </c>
      <c r="C150" s="10"/>
      <c r="D150" s="10"/>
      <c r="E150" s="10"/>
      <c r="F150" s="10"/>
      <c r="G150" s="10"/>
      <c r="H150" s="12"/>
    </row>
    <row r="151" customFormat="false" ht="14.25" hidden="false" customHeight="false" outlineLevel="0" collapsed="false">
      <c r="A151" s="8" t="n">
        <f aca="false">A94</f>
        <v>45960</v>
      </c>
      <c r="B151" s="10" t="s">
        <v>19</v>
      </c>
      <c r="C151" s="10"/>
      <c r="D151" s="10"/>
      <c r="E151" s="10"/>
      <c r="F151" s="10"/>
      <c r="G151" s="10"/>
      <c r="H151" s="12"/>
    </row>
    <row r="152" customFormat="false" ht="14.25" hidden="false" customHeight="false" outlineLevel="0" collapsed="false">
      <c r="A152" s="8" t="n">
        <f aca="false">A95</f>
        <v>45960</v>
      </c>
      <c r="B152" s="10" t="s">
        <v>19</v>
      </c>
      <c r="C152" s="13"/>
      <c r="D152" s="13"/>
      <c r="E152" s="13"/>
      <c r="F152" s="13"/>
      <c r="G152" s="13"/>
      <c r="H152" s="14"/>
    </row>
    <row r="153" customFormat="false" ht="14.25" hidden="false" customHeight="false" outlineLevel="0" collapsed="false">
      <c r="A153" s="19" t="n">
        <f aca="false">A96</f>
        <v>45960</v>
      </c>
      <c r="B153" s="20" t="s">
        <v>19</v>
      </c>
      <c r="C153" s="21"/>
      <c r="D153" s="21"/>
      <c r="E153" s="21"/>
      <c r="F153" s="21"/>
      <c r="G153" s="21"/>
      <c r="H153" s="22"/>
    </row>
    <row r="154" customFormat="false" ht="14.25" hidden="false" customHeight="false" outlineLevel="0" collapsed="false">
      <c r="A154" s="0" t="n">
        <f aca="false">A142</f>
        <v>45967</v>
      </c>
    </row>
    <row r="155" customFormat="false" ht="14.25" hidden="false" customHeight="false" outlineLevel="0" collapsed="false">
      <c r="A155" s="0" t="n">
        <f aca="false">A142</f>
        <v>45967</v>
      </c>
    </row>
    <row r="156" customFormat="false" ht="14.25" hidden="false" customHeight="false" outlineLevel="0" collapsed="false">
      <c r="A156" s="0" t="n">
        <f aca="false">A142</f>
        <v>45967</v>
      </c>
    </row>
    <row r="157" customFormat="false" ht="15" hidden="false" customHeight="true" outlineLevel="0" collapsed="false">
      <c r="A157" s="0" t="n">
        <f aca="false">A142</f>
        <v>45967</v>
      </c>
    </row>
    <row r="158" customFormat="false" ht="14.25" hidden="false" customHeight="false" outlineLevel="0" collapsed="false">
      <c r="A158" s="0" t="n">
        <f aca="false">A142</f>
        <v>45967</v>
      </c>
    </row>
    <row r="159" customFormat="false" ht="14.25" hidden="false" customHeight="false" outlineLevel="0" collapsed="false">
      <c r="A159" s="0" t="n">
        <f aca="false">A142</f>
        <v>45967</v>
      </c>
    </row>
    <row r="160" customFormat="false" ht="14.25" hidden="false" customHeight="false" outlineLevel="0" collapsed="false">
      <c r="A160" s="0" t="n">
        <f aca="false">A142</f>
        <v>45967</v>
      </c>
    </row>
    <row r="161" customFormat="false" ht="14.25" hidden="false" customHeight="false" outlineLevel="0" collapsed="false">
      <c r="A161" s="0" t="n">
        <f aca="false">A142</f>
        <v>45967</v>
      </c>
    </row>
    <row r="162" customFormat="false" ht="14.25" hidden="false" customHeight="false" outlineLevel="0" collapsed="false">
      <c r="A162" s="4" t="n">
        <f aca="false">A97+7</f>
        <v>45967</v>
      </c>
      <c r="B162" s="5" t="s">
        <v>8</v>
      </c>
      <c r="C162" s="5"/>
      <c r="D162" s="5"/>
      <c r="E162" s="5"/>
      <c r="F162" s="5"/>
      <c r="G162" s="5"/>
      <c r="H162" s="7"/>
    </row>
    <row r="163" customFormat="false" ht="14.25" hidden="false" customHeight="false" outlineLevel="0" collapsed="false">
      <c r="A163" s="8" t="n">
        <f aca="false">A98</f>
        <v>45960</v>
      </c>
      <c r="B163" s="10" t="s">
        <v>8</v>
      </c>
      <c r="C163" s="10"/>
      <c r="D163" s="10"/>
      <c r="E163" s="10"/>
      <c r="F163" s="10"/>
      <c r="G163" s="10"/>
      <c r="H163" s="12"/>
    </row>
    <row r="164" customFormat="false" ht="14.25" hidden="false" customHeight="false" outlineLevel="0" collapsed="false">
      <c r="A164" s="8" t="n">
        <f aca="false">A99</f>
        <v>45960</v>
      </c>
      <c r="B164" s="10" t="s">
        <v>8</v>
      </c>
      <c r="C164" s="10"/>
      <c r="D164" s="10"/>
      <c r="E164" s="10"/>
      <c r="F164" s="10"/>
      <c r="G164" s="10"/>
      <c r="H164" s="12"/>
    </row>
    <row r="165" customFormat="false" ht="14.25" hidden="false" customHeight="false" outlineLevel="0" collapsed="false">
      <c r="A165" s="8" t="n">
        <f aca="false">A100</f>
        <v>45960</v>
      </c>
      <c r="B165" s="10" t="s">
        <v>8</v>
      </c>
      <c r="C165" s="10"/>
      <c r="D165" s="10"/>
      <c r="E165" s="10"/>
      <c r="F165" s="10"/>
      <c r="G165" s="10"/>
      <c r="H165" s="12"/>
    </row>
    <row r="166" customFormat="false" ht="14.25" hidden="false" customHeight="false" outlineLevel="0" collapsed="false">
      <c r="A166" s="8" t="n">
        <f aca="false">A101</f>
        <v>45960</v>
      </c>
      <c r="B166" s="10" t="s">
        <v>8</v>
      </c>
      <c r="C166" s="10"/>
      <c r="D166" s="10"/>
      <c r="E166" s="10"/>
      <c r="F166" s="10"/>
      <c r="G166" s="10"/>
      <c r="H166" s="12"/>
    </row>
    <row r="167" customFormat="false" ht="14.25" hidden="false" customHeight="false" outlineLevel="0" collapsed="false">
      <c r="A167" s="8" t="n">
        <f aca="false">A102</f>
        <v>45967</v>
      </c>
      <c r="B167" s="10" t="s">
        <v>8</v>
      </c>
      <c r="C167" s="10"/>
      <c r="D167" s="10"/>
      <c r="E167" s="10"/>
      <c r="F167" s="10"/>
      <c r="G167" s="10"/>
      <c r="H167" s="12"/>
    </row>
    <row r="168" customFormat="false" ht="14.25" hidden="false" customHeight="false" outlineLevel="0" collapsed="false">
      <c r="A168" s="8" t="n">
        <f aca="false">A103</f>
        <v>45967</v>
      </c>
      <c r="B168" s="10" t="s">
        <v>19</v>
      </c>
      <c r="C168" s="10"/>
      <c r="D168" s="10"/>
      <c r="E168" s="10"/>
      <c r="F168" s="10"/>
      <c r="G168" s="10"/>
      <c r="H168" s="12"/>
    </row>
    <row r="169" customFormat="false" ht="14.25" hidden="false" customHeight="false" outlineLevel="0" collapsed="false">
      <c r="A169" s="8" t="n">
        <f aca="false">A104</f>
        <v>45967</v>
      </c>
      <c r="B169" s="10" t="s">
        <v>19</v>
      </c>
      <c r="C169" s="10"/>
      <c r="D169" s="10"/>
      <c r="E169" s="10"/>
      <c r="F169" s="10"/>
      <c r="G169" s="10"/>
      <c r="H169" s="12"/>
    </row>
    <row r="170" customFormat="false" ht="14.25" hidden="false" customHeight="false" outlineLevel="0" collapsed="false">
      <c r="A170" s="8" t="n">
        <f aca="false">A105</f>
        <v>45967</v>
      </c>
      <c r="B170" s="10" t="s">
        <v>19</v>
      </c>
      <c r="C170" s="10"/>
      <c r="D170" s="10"/>
      <c r="E170" s="10"/>
      <c r="F170" s="10"/>
      <c r="G170" s="10"/>
      <c r="H170" s="12"/>
    </row>
    <row r="171" customFormat="false" ht="14.25" hidden="false" customHeight="false" outlineLevel="0" collapsed="false">
      <c r="A171" s="8" t="n">
        <f aca="false">A106</f>
        <v>45967</v>
      </c>
      <c r="B171" s="10" t="s">
        <v>19</v>
      </c>
      <c r="C171" s="10"/>
      <c r="D171" s="10"/>
      <c r="E171" s="10"/>
      <c r="F171" s="10"/>
      <c r="G171" s="10"/>
      <c r="H171" s="12"/>
    </row>
    <row r="172" customFormat="false" ht="14.25" hidden="false" customHeight="false" outlineLevel="0" collapsed="false">
      <c r="A172" s="8" t="n">
        <f aca="false">A107</f>
        <v>45967</v>
      </c>
      <c r="B172" s="10" t="s">
        <v>19</v>
      </c>
      <c r="C172" s="13"/>
      <c r="D172" s="13"/>
      <c r="E172" s="13"/>
      <c r="F172" s="13"/>
      <c r="G172" s="13"/>
      <c r="H172" s="14"/>
    </row>
    <row r="173" customFormat="false" ht="14.25" hidden="false" customHeight="false" outlineLevel="0" collapsed="false">
      <c r="A173" s="19" t="n">
        <f aca="false">A108</f>
        <v>45967</v>
      </c>
      <c r="B173" s="20" t="s">
        <v>19</v>
      </c>
      <c r="C173" s="21"/>
      <c r="D173" s="21"/>
      <c r="E173" s="21"/>
      <c r="F173" s="21"/>
      <c r="G173" s="21"/>
      <c r="H173" s="22"/>
    </row>
    <row r="174" customFormat="false" ht="14.25" hidden="false" customHeight="false" outlineLevel="0" collapsed="false">
      <c r="A174" s="0" t="n">
        <f aca="false">A162</f>
        <v>45967</v>
      </c>
    </row>
    <row r="175" customFormat="false" ht="14.25" hidden="false" customHeight="false" outlineLevel="0" collapsed="false">
      <c r="A175" s="0" t="n">
        <f aca="false">A162</f>
        <v>45967</v>
      </c>
    </row>
    <row r="176" customFormat="false" ht="14.25" hidden="false" customHeight="false" outlineLevel="0" collapsed="false">
      <c r="A176" s="0" t="n">
        <f aca="false">A162</f>
        <v>45967</v>
      </c>
    </row>
    <row r="177" customFormat="false" ht="14.25" hidden="false" customHeight="false" outlineLevel="0" collapsed="false">
      <c r="A177" s="0" t="n">
        <f aca="false">A162</f>
        <v>45967</v>
      </c>
    </row>
    <row r="178" customFormat="false" ht="14.25" hidden="false" customHeight="false" outlineLevel="0" collapsed="false">
      <c r="A178" s="0" t="n">
        <f aca="false">A162</f>
        <v>45967</v>
      </c>
    </row>
    <row r="179" customFormat="false" ht="14.25" hidden="false" customHeight="false" outlineLevel="0" collapsed="false">
      <c r="A179" s="0" t="n">
        <f aca="false">A162</f>
        <v>45967</v>
      </c>
    </row>
    <row r="180" customFormat="false" ht="14.25" hidden="false" customHeight="false" outlineLevel="0" collapsed="false">
      <c r="A180" s="0" t="n">
        <f aca="false">A162</f>
        <v>45967</v>
      </c>
    </row>
    <row r="181" customFormat="false" ht="14.25" hidden="false" customHeight="false" outlineLevel="0" collapsed="false">
      <c r="A181" s="0" t="n">
        <f aca="false">A162</f>
        <v>45967</v>
      </c>
    </row>
    <row r="182" customFormat="false" ht="14.25" hidden="false" customHeight="false" outlineLevel="0" collapsed="false">
      <c r="A182" s="4" t="n">
        <f aca="false">A109+7</f>
        <v>45974</v>
      </c>
      <c r="B182" s="5" t="s">
        <v>8</v>
      </c>
      <c r="C182" s="5"/>
      <c r="D182" s="5"/>
      <c r="E182" s="5"/>
      <c r="F182" s="5"/>
      <c r="G182" s="5"/>
      <c r="H182" s="7"/>
    </row>
    <row r="183" customFormat="false" ht="14.25" hidden="false" customHeight="false" outlineLevel="0" collapsed="false">
      <c r="A183" s="8" t="n">
        <f aca="false">A110</f>
        <v>45967</v>
      </c>
      <c r="B183" s="10" t="s">
        <v>8</v>
      </c>
      <c r="C183" s="10"/>
      <c r="D183" s="10"/>
      <c r="E183" s="10"/>
      <c r="F183" s="10"/>
      <c r="G183" s="10"/>
      <c r="H183" s="12"/>
    </row>
    <row r="184" customFormat="false" ht="14.25" hidden="false" customHeight="false" outlineLevel="0" collapsed="false">
      <c r="A184" s="8" t="n">
        <f aca="false">A111</f>
        <v>45967</v>
      </c>
      <c r="B184" s="10" t="s">
        <v>8</v>
      </c>
      <c r="C184" s="10"/>
      <c r="D184" s="10"/>
      <c r="E184" s="10"/>
      <c r="F184" s="10"/>
      <c r="G184" s="10"/>
      <c r="H184" s="12"/>
    </row>
    <row r="185" customFormat="false" ht="14.25" hidden="false" customHeight="false" outlineLevel="0" collapsed="false">
      <c r="A185" s="8" t="n">
        <f aca="false">A112</f>
        <v>45967</v>
      </c>
      <c r="B185" s="10" t="s">
        <v>8</v>
      </c>
      <c r="C185" s="10"/>
      <c r="D185" s="10"/>
      <c r="E185" s="10"/>
      <c r="F185" s="10"/>
      <c r="G185" s="10"/>
      <c r="H185" s="12"/>
    </row>
    <row r="186" customFormat="false" ht="14.25" hidden="false" customHeight="false" outlineLevel="0" collapsed="false">
      <c r="A186" s="8" t="n">
        <f aca="false">A113</f>
        <v>45967</v>
      </c>
      <c r="B186" s="10" t="s">
        <v>8</v>
      </c>
      <c r="C186" s="10"/>
      <c r="D186" s="10"/>
      <c r="E186" s="10"/>
      <c r="F186" s="10"/>
      <c r="G186" s="10"/>
      <c r="H186" s="12"/>
    </row>
    <row r="187" customFormat="false" ht="14.25" hidden="false" customHeight="false" outlineLevel="0" collapsed="false">
      <c r="A187" s="8" t="n">
        <f aca="false">A114</f>
        <v>45967</v>
      </c>
      <c r="B187" s="10" t="s">
        <v>8</v>
      </c>
      <c r="C187" s="10"/>
      <c r="D187" s="10"/>
      <c r="E187" s="10"/>
      <c r="F187" s="10"/>
      <c r="G187" s="10"/>
      <c r="H187" s="12"/>
    </row>
    <row r="188" customFormat="false" ht="14.25" hidden="false" customHeight="false" outlineLevel="0" collapsed="false">
      <c r="A188" s="8" t="n">
        <f aca="false">A115</f>
        <v>45967</v>
      </c>
      <c r="B188" s="10" t="s">
        <v>19</v>
      </c>
      <c r="C188" s="10"/>
      <c r="D188" s="10"/>
      <c r="E188" s="10"/>
      <c r="F188" s="10"/>
      <c r="G188" s="10"/>
      <c r="H188" s="12"/>
    </row>
    <row r="189" customFormat="false" ht="14.25" hidden="false" customHeight="false" outlineLevel="0" collapsed="false">
      <c r="A189" s="8" t="n">
        <f aca="false">A116</f>
        <v>45967</v>
      </c>
      <c r="B189" s="10" t="s">
        <v>19</v>
      </c>
      <c r="C189" s="10"/>
      <c r="D189" s="10"/>
      <c r="E189" s="10"/>
      <c r="F189" s="10"/>
      <c r="G189" s="10"/>
      <c r="H189" s="12"/>
    </row>
    <row r="190" customFormat="false" ht="14.25" hidden="false" customHeight="false" outlineLevel="0" collapsed="false">
      <c r="A190" s="8" t="n">
        <f aca="false">A117</f>
        <v>45967</v>
      </c>
      <c r="B190" s="10" t="s">
        <v>19</v>
      </c>
      <c r="C190" s="10"/>
      <c r="D190" s="10"/>
      <c r="E190" s="10"/>
      <c r="F190" s="10"/>
      <c r="G190" s="10"/>
      <c r="H190" s="12"/>
    </row>
    <row r="191" customFormat="false" ht="14.25" hidden="false" customHeight="false" outlineLevel="0" collapsed="false">
      <c r="A191" s="8" t="n">
        <f aca="false">A118</f>
        <v>45967</v>
      </c>
      <c r="B191" s="10" t="s">
        <v>19</v>
      </c>
      <c r="C191" s="10"/>
      <c r="D191" s="10"/>
      <c r="E191" s="10"/>
      <c r="F191" s="10"/>
      <c r="G191" s="10"/>
      <c r="H191" s="12"/>
    </row>
    <row r="192" customFormat="false" ht="14.25" hidden="false" customHeight="false" outlineLevel="0" collapsed="false">
      <c r="A192" s="8" t="n">
        <f aca="false">A119</f>
        <v>45967</v>
      </c>
      <c r="B192" s="10" t="s">
        <v>19</v>
      </c>
      <c r="C192" s="13"/>
      <c r="D192" s="13"/>
      <c r="E192" s="13"/>
      <c r="F192" s="13"/>
      <c r="G192" s="13"/>
      <c r="H192" s="14"/>
    </row>
    <row r="193" customFormat="false" ht="14.25" hidden="false" customHeight="false" outlineLevel="0" collapsed="false">
      <c r="A193" s="19" t="n">
        <f aca="false">A120</f>
        <v>45967</v>
      </c>
      <c r="B193" s="20" t="s">
        <v>19</v>
      </c>
      <c r="C193" s="21"/>
      <c r="D193" s="21"/>
      <c r="E193" s="21"/>
      <c r="F193" s="21"/>
      <c r="G193" s="21"/>
      <c r="H193" s="22"/>
    </row>
    <row r="194" customFormat="false" ht="14.25" hidden="false" customHeight="false" outlineLevel="0" collapsed="false">
      <c r="A194" s="0" t="n">
        <f aca="false">A182</f>
        <v>45974</v>
      </c>
    </row>
    <row r="195" customFormat="false" ht="14.25" hidden="false" customHeight="false" outlineLevel="0" collapsed="false">
      <c r="A195" s="0" t="n">
        <f aca="false">A182</f>
        <v>45974</v>
      </c>
    </row>
    <row r="196" customFormat="false" ht="14.25" hidden="false" customHeight="false" outlineLevel="0" collapsed="false">
      <c r="A196" s="0" t="n">
        <f aca="false">A182</f>
        <v>45974</v>
      </c>
    </row>
    <row r="197" customFormat="false" ht="14.25" hidden="false" customHeight="false" outlineLevel="0" collapsed="false">
      <c r="A197" s="0" t="n">
        <f aca="false">A182</f>
        <v>45974</v>
      </c>
    </row>
    <row r="198" customFormat="false" ht="14.25" hidden="false" customHeight="false" outlineLevel="0" collapsed="false">
      <c r="A198" s="0" t="n">
        <f aca="false">A182</f>
        <v>45974</v>
      </c>
    </row>
    <row r="199" customFormat="false" ht="14.25" hidden="false" customHeight="false" outlineLevel="0" collapsed="false">
      <c r="A199" s="0" t="n">
        <f aca="false">A182</f>
        <v>45974</v>
      </c>
    </row>
    <row r="200" customFormat="false" ht="14.25" hidden="false" customHeight="false" outlineLevel="0" collapsed="false">
      <c r="A200" s="0" t="n">
        <f aca="false">A182</f>
        <v>45974</v>
      </c>
    </row>
    <row r="201" customFormat="false" ht="14.25" hidden="false" customHeight="false" outlineLevel="0" collapsed="false">
      <c r="A201" s="0" t="n">
        <f aca="false">A182</f>
        <v>45974</v>
      </c>
    </row>
    <row r="202" customFormat="false" ht="14.25" hidden="false" customHeight="false" outlineLevel="0" collapsed="false">
      <c r="A202" s="4" t="n">
        <f aca="false">A121+7</f>
        <v>45974</v>
      </c>
      <c r="B202" s="5" t="s">
        <v>8</v>
      </c>
      <c r="C202" s="5"/>
      <c r="D202" s="5"/>
      <c r="E202" s="5"/>
      <c r="F202" s="5"/>
      <c r="G202" s="5"/>
      <c r="H202" s="7"/>
    </row>
    <row r="203" customFormat="false" ht="14.25" hidden="false" customHeight="false" outlineLevel="0" collapsed="false">
      <c r="A203" s="8" t="n">
        <f aca="false">A122</f>
        <v>45960</v>
      </c>
      <c r="B203" s="10" t="s">
        <v>8</v>
      </c>
      <c r="C203" s="10"/>
      <c r="D203" s="10"/>
      <c r="E203" s="10"/>
      <c r="F203" s="10"/>
      <c r="G203" s="10"/>
      <c r="H203" s="12"/>
    </row>
    <row r="204" customFormat="false" ht="14.25" hidden="false" customHeight="false" outlineLevel="0" collapsed="false">
      <c r="A204" s="8" t="n">
        <f aca="false">A123</f>
        <v>45953</v>
      </c>
      <c r="B204" s="10" t="s">
        <v>8</v>
      </c>
      <c r="C204" s="10"/>
      <c r="D204" s="10"/>
      <c r="E204" s="10"/>
      <c r="F204" s="10"/>
      <c r="G204" s="10"/>
      <c r="H204" s="12"/>
    </row>
    <row r="205" customFormat="false" ht="14.25" hidden="false" customHeight="false" outlineLevel="0" collapsed="false">
      <c r="A205" s="8" t="n">
        <f aca="false">A124</f>
        <v>45953</v>
      </c>
      <c r="B205" s="10" t="s">
        <v>8</v>
      </c>
      <c r="C205" s="10"/>
      <c r="D205" s="10"/>
      <c r="E205" s="10"/>
      <c r="F205" s="10"/>
      <c r="G205" s="10"/>
      <c r="H205" s="12"/>
    </row>
    <row r="206" customFormat="false" ht="14.25" hidden="false" customHeight="false" outlineLevel="0" collapsed="false">
      <c r="A206" s="8" t="n">
        <f aca="false">A125</f>
        <v>45953</v>
      </c>
      <c r="B206" s="10" t="s">
        <v>8</v>
      </c>
      <c r="C206" s="10"/>
      <c r="D206" s="10"/>
      <c r="E206" s="10"/>
      <c r="F206" s="10"/>
      <c r="G206" s="10"/>
      <c r="H206" s="12"/>
    </row>
    <row r="207" customFormat="false" ht="14.25" hidden="false" customHeight="false" outlineLevel="0" collapsed="false">
      <c r="A207" s="8" t="n">
        <f aca="false">A126</f>
        <v>45953</v>
      </c>
      <c r="B207" s="10" t="s">
        <v>8</v>
      </c>
      <c r="C207" s="10"/>
      <c r="D207" s="10"/>
      <c r="E207" s="10"/>
      <c r="F207" s="10"/>
      <c r="G207" s="10"/>
      <c r="H207" s="12"/>
    </row>
    <row r="208" customFormat="false" ht="14.25" hidden="false" customHeight="false" outlineLevel="0" collapsed="false">
      <c r="A208" s="8" t="n">
        <f aca="false">A127</f>
        <v>45953</v>
      </c>
      <c r="B208" s="10" t="s">
        <v>19</v>
      </c>
      <c r="C208" s="10"/>
      <c r="D208" s="10"/>
      <c r="E208" s="10"/>
      <c r="F208" s="10"/>
      <c r="G208" s="10"/>
      <c r="H208" s="12"/>
    </row>
    <row r="209" customFormat="false" ht="14.25" hidden="false" customHeight="false" outlineLevel="0" collapsed="false">
      <c r="A209" s="8" t="n">
        <f aca="false">A128</f>
        <v>45953</v>
      </c>
      <c r="B209" s="10" t="s">
        <v>19</v>
      </c>
      <c r="C209" s="10"/>
      <c r="D209" s="10"/>
      <c r="E209" s="10"/>
      <c r="F209" s="10"/>
      <c r="G209" s="10"/>
      <c r="H209" s="12"/>
    </row>
    <row r="210" customFormat="false" ht="14.25" hidden="false" customHeight="false" outlineLevel="0" collapsed="false">
      <c r="A210" s="8" t="n">
        <f aca="false">A129</f>
        <v>45953</v>
      </c>
      <c r="B210" s="10" t="s">
        <v>19</v>
      </c>
      <c r="C210" s="10"/>
      <c r="D210" s="10"/>
      <c r="E210" s="10"/>
      <c r="F210" s="10"/>
      <c r="G210" s="10"/>
      <c r="H210" s="12"/>
    </row>
    <row r="211" customFormat="false" ht="14.25" hidden="false" customHeight="false" outlineLevel="0" collapsed="false">
      <c r="A211" s="8" t="n">
        <f aca="false">A130</f>
        <v>45953</v>
      </c>
      <c r="B211" s="10" t="s">
        <v>19</v>
      </c>
      <c r="C211" s="10"/>
      <c r="D211" s="10"/>
      <c r="E211" s="10"/>
      <c r="F211" s="10"/>
      <c r="G211" s="10"/>
      <c r="H211" s="12"/>
    </row>
    <row r="212" customFormat="false" ht="14.25" hidden="false" customHeight="false" outlineLevel="0" collapsed="false">
      <c r="A212" s="8" t="n">
        <f aca="false">A131</f>
        <v>45960</v>
      </c>
      <c r="B212" s="10" t="s">
        <v>19</v>
      </c>
      <c r="C212" s="13"/>
      <c r="D212" s="13"/>
      <c r="E212" s="13"/>
      <c r="F212" s="13"/>
      <c r="G212" s="13"/>
      <c r="H212" s="14"/>
    </row>
    <row r="213" customFormat="false" ht="14.25" hidden="false" customHeight="false" outlineLevel="0" collapsed="false">
      <c r="A213" s="19" t="n">
        <f aca="false">A132</f>
        <v>45960</v>
      </c>
      <c r="B213" s="20" t="s">
        <v>19</v>
      </c>
      <c r="C213" s="21"/>
      <c r="D213" s="21"/>
      <c r="E213" s="21"/>
      <c r="F213" s="21"/>
      <c r="G213" s="21"/>
      <c r="H213" s="22"/>
    </row>
    <row r="214" customFormat="false" ht="14.25" hidden="false" customHeight="false" outlineLevel="0" collapsed="false">
      <c r="A214" s="0" t="n">
        <f aca="false">A202</f>
        <v>45974</v>
      </c>
    </row>
    <row r="215" customFormat="false" ht="14.25" hidden="false" customHeight="false" outlineLevel="0" collapsed="false">
      <c r="A215" s="0" t="n">
        <f aca="false">A202</f>
        <v>45974</v>
      </c>
    </row>
    <row r="216" customFormat="false" ht="14.25" hidden="false" customHeight="false" outlineLevel="0" collapsed="false">
      <c r="A216" s="0" t="n">
        <f aca="false">A202</f>
        <v>45974</v>
      </c>
    </row>
    <row r="217" customFormat="false" ht="14.25" hidden="false" customHeight="false" outlineLevel="0" collapsed="false">
      <c r="A217" s="0" t="n">
        <f aca="false">A202</f>
        <v>45974</v>
      </c>
    </row>
    <row r="218" customFormat="false" ht="14.25" hidden="false" customHeight="false" outlineLevel="0" collapsed="false">
      <c r="A218" s="0" t="n">
        <f aca="false">A202</f>
        <v>45974</v>
      </c>
    </row>
    <row r="219" customFormat="false" ht="14.25" hidden="false" customHeight="false" outlineLevel="0" collapsed="false">
      <c r="A219" s="0" t="n">
        <f aca="false">A202</f>
        <v>45974</v>
      </c>
    </row>
    <row r="220" customFormat="false" ht="14.25" hidden="false" customHeight="false" outlineLevel="0" collapsed="false">
      <c r="A220" s="0" t="n">
        <f aca="false">A202</f>
        <v>45974</v>
      </c>
    </row>
    <row r="221" customFormat="false" ht="14.25" hidden="false" customHeight="false" outlineLevel="0" collapsed="false">
      <c r="A221" s="0" t="n">
        <f aca="false">A202</f>
        <v>45974</v>
      </c>
    </row>
    <row r="222" customFormat="false" ht="14.25" hidden="false" customHeight="false" outlineLevel="0" collapsed="false">
      <c r="A222" s="4" t="n">
        <f aca="false">A133+7</f>
        <v>45967</v>
      </c>
      <c r="B222" s="5" t="s">
        <v>8</v>
      </c>
      <c r="C222" s="5"/>
      <c r="D222" s="5"/>
      <c r="E222" s="5"/>
      <c r="F222" s="5"/>
      <c r="G222" s="5"/>
      <c r="H222" s="7"/>
    </row>
    <row r="223" customFormat="false" ht="14.25" hidden="false" customHeight="false" outlineLevel="0" collapsed="false">
      <c r="A223" s="8" t="n">
        <f aca="false">A134</f>
        <v>45960</v>
      </c>
      <c r="B223" s="10" t="s">
        <v>8</v>
      </c>
      <c r="C223" s="10"/>
      <c r="D223" s="10"/>
      <c r="E223" s="10"/>
      <c r="F223" s="10"/>
      <c r="G223" s="10"/>
      <c r="H223" s="12"/>
    </row>
    <row r="224" customFormat="false" ht="14.25" hidden="false" customHeight="false" outlineLevel="0" collapsed="false">
      <c r="A224" s="8" t="n">
        <f aca="false">A135</f>
        <v>45960</v>
      </c>
      <c r="B224" s="10" t="s">
        <v>8</v>
      </c>
      <c r="C224" s="10"/>
      <c r="D224" s="10"/>
      <c r="E224" s="10"/>
      <c r="F224" s="10"/>
      <c r="G224" s="10"/>
      <c r="H224" s="12"/>
    </row>
    <row r="225" customFormat="false" ht="14.25" hidden="false" customHeight="false" outlineLevel="0" collapsed="false">
      <c r="A225" s="8" t="n">
        <f aca="false">A136</f>
        <v>45960</v>
      </c>
      <c r="B225" s="10" t="s">
        <v>8</v>
      </c>
      <c r="C225" s="10"/>
      <c r="D225" s="10"/>
      <c r="E225" s="10"/>
      <c r="F225" s="10"/>
      <c r="G225" s="10"/>
      <c r="H225" s="12"/>
    </row>
    <row r="226" customFormat="false" ht="14.25" hidden="false" customHeight="false" outlineLevel="0" collapsed="false">
      <c r="A226" s="8" t="n">
        <f aca="false">A137</f>
        <v>45960</v>
      </c>
      <c r="B226" s="10" t="s">
        <v>8</v>
      </c>
      <c r="C226" s="10"/>
      <c r="D226" s="10"/>
      <c r="E226" s="10"/>
      <c r="F226" s="10"/>
      <c r="G226" s="10"/>
      <c r="H226" s="12"/>
    </row>
    <row r="227" customFormat="false" ht="14.25" hidden="false" customHeight="false" outlineLevel="0" collapsed="false">
      <c r="A227" s="8" t="n">
        <f aca="false">A138</f>
        <v>45960</v>
      </c>
      <c r="B227" s="10" t="s">
        <v>8</v>
      </c>
      <c r="C227" s="10"/>
      <c r="D227" s="10"/>
      <c r="E227" s="10"/>
      <c r="F227" s="10"/>
      <c r="G227" s="10"/>
      <c r="H227" s="12"/>
    </row>
    <row r="228" customFormat="false" ht="14.25" hidden="false" customHeight="false" outlineLevel="0" collapsed="false">
      <c r="A228" s="8" t="n">
        <f aca="false">A139</f>
        <v>45960</v>
      </c>
      <c r="B228" s="10" t="s">
        <v>19</v>
      </c>
      <c r="C228" s="10"/>
      <c r="D228" s="10"/>
      <c r="E228" s="10"/>
      <c r="F228" s="10"/>
      <c r="G228" s="10"/>
      <c r="H228" s="12"/>
    </row>
    <row r="229" customFormat="false" ht="14.25" hidden="false" customHeight="false" outlineLevel="0" collapsed="false">
      <c r="A229" s="8" t="n">
        <f aca="false">A140</f>
        <v>45960</v>
      </c>
      <c r="B229" s="10" t="s">
        <v>19</v>
      </c>
      <c r="C229" s="10"/>
      <c r="D229" s="10"/>
      <c r="E229" s="10"/>
      <c r="F229" s="10"/>
      <c r="G229" s="10"/>
      <c r="H229" s="12"/>
    </row>
    <row r="230" customFormat="false" ht="14.25" hidden="false" customHeight="false" outlineLevel="0" collapsed="false">
      <c r="A230" s="8" t="n">
        <f aca="false">A141</f>
        <v>45960</v>
      </c>
      <c r="B230" s="10" t="s">
        <v>19</v>
      </c>
      <c r="C230" s="10"/>
      <c r="D230" s="10"/>
      <c r="E230" s="10"/>
      <c r="F230" s="10"/>
      <c r="G230" s="10"/>
      <c r="H230" s="12"/>
    </row>
    <row r="231" customFormat="false" ht="14.25" hidden="false" customHeight="false" outlineLevel="0" collapsed="false">
      <c r="A231" s="8" t="n">
        <f aca="false">A142</f>
        <v>45967</v>
      </c>
      <c r="B231" s="10" t="s">
        <v>19</v>
      </c>
      <c r="C231" s="10"/>
      <c r="D231" s="10"/>
      <c r="E231" s="10"/>
      <c r="F231" s="10"/>
      <c r="G231" s="10"/>
      <c r="H231" s="12"/>
    </row>
    <row r="232" customFormat="false" ht="14.25" hidden="false" customHeight="false" outlineLevel="0" collapsed="false">
      <c r="A232" s="8" t="n">
        <f aca="false">A143</f>
        <v>45960</v>
      </c>
      <c r="B232" s="10" t="s">
        <v>19</v>
      </c>
      <c r="C232" s="13"/>
      <c r="D232" s="13"/>
      <c r="E232" s="13"/>
      <c r="F232" s="13"/>
      <c r="G232" s="13"/>
      <c r="H232" s="14"/>
    </row>
    <row r="233" customFormat="false" ht="14.25" hidden="false" customHeight="false" outlineLevel="0" collapsed="false">
      <c r="A233" s="19" t="n">
        <f aca="false">A144</f>
        <v>45960</v>
      </c>
      <c r="B233" s="20" t="s">
        <v>19</v>
      </c>
      <c r="C233" s="21"/>
      <c r="D233" s="21"/>
      <c r="E233" s="21"/>
      <c r="F233" s="21"/>
      <c r="G233" s="21"/>
      <c r="H233" s="22"/>
    </row>
    <row r="234" customFormat="false" ht="14.25" hidden="false" customHeight="false" outlineLevel="0" collapsed="false">
      <c r="A234" s="0" t="n">
        <f aca="false">A222</f>
        <v>45967</v>
      </c>
    </row>
    <row r="235" customFormat="false" ht="14.25" hidden="false" customHeight="false" outlineLevel="0" collapsed="false">
      <c r="A235" s="0" t="n">
        <f aca="false">A222</f>
        <v>45967</v>
      </c>
    </row>
    <row r="236" customFormat="false" ht="14.25" hidden="false" customHeight="false" outlineLevel="0" collapsed="false">
      <c r="A236" s="0" t="n">
        <f aca="false">A222</f>
        <v>45967</v>
      </c>
    </row>
    <row r="237" customFormat="false" ht="14.25" hidden="false" customHeight="false" outlineLevel="0" collapsed="false">
      <c r="A237" s="0" t="n">
        <f aca="false">A222</f>
        <v>45967</v>
      </c>
    </row>
    <row r="238" customFormat="false" ht="14.25" hidden="false" customHeight="false" outlineLevel="0" collapsed="false">
      <c r="A238" s="0" t="n">
        <f aca="false">A222</f>
        <v>45967</v>
      </c>
    </row>
    <row r="239" customFormat="false" ht="14.25" hidden="false" customHeight="false" outlineLevel="0" collapsed="false">
      <c r="A239" s="0" t="n">
        <f aca="false">A222</f>
        <v>45967</v>
      </c>
    </row>
    <row r="240" customFormat="false" ht="14.25" hidden="false" customHeight="false" outlineLevel="0" collapsed="false">
      <c r="A240" s="0" t="n">
        <f aca="false">A222</f>
        <v>45967</v>
      </c>
    </row>
    <row r="241" customFormat="false" ht="14.25" hidden="false" customHeight="false" outlineLevel="0" collapsed="false">
      <c r="A241" s="0" t="n">
        <f aca="false">A222</f>
        <v>45967</v>
      </c>
    </row>
    <row r="242" customFormat="false" ht="14.25" hidden="false" customHeight="false" outlineLevel="0" collapsed="false">
      <c r="A242" s="4" t="n">
        <f aca="false">A145+7</f>
        <v>45967</v>
      </c>
      <c r="B242" s="5" t="s">
        <v>8</v>
      </c>
      <c r="C242" s="5"/>
      <c r="D242" s="5"/>
      <c r="E242" s="5"/>
      <c r="F242" s="5"/>
      <c r="G242" s="5"/>
      <c r="H242" s="7"/>
    </row>
    <row r="243" customFormat="false" ht="14.25" hidden="false" customHeight="false" outlineLevel="0" collapsed="false">
      <c r="A243" s="8" t="n">
        <f aca="false">A146</f>
        <v>45960</v>
      </c>
      <c r="B243" s="10" t="s">
        <v>8</v>
      </c>
      <c r="C243" s="10"/>
      <c r="D243" s="10"/>
      <c r="E243" s="10"/>
      <c r="F243" s="10"/>
      <c r="G243" s="10"/>
      <c r="H243" s="12"/>
    </row>
    <row r="244" customFormat="false" ht="14.25" hidden="false" customHeight="false" outlineLevel="0" collapsed="false">
      <c r="A244" s="8" t="n">
        <f aca="false">A147</f>
        <v>45960</v>
      </c>
      <c r="B244" s="10" t="s">
        <v>8</v>
      </c>
      <c r="C244" s="10"/>
      <c r="D244" s="10"/>
      <c r="E244" s="10"/>
      <c r="F244" s="10"/>
      <c r="G244" s="10"/>
      <c r="H244" s="12"/>
    </row>
    <row r="245" customFormat="false" ht="14.25" hidden="false" customHeight="false" outlineLevel="0" collapsed="false">
      <c r="A245" s="8" t="n">
        <f aca="false">A148</f>
        <v>45960</v>
      </c>
      <c r="B245" s="10" t="s">
        <v>8</v>
      </c>
      <c r="C245" s="10"/>
      <c r="D245" s="10"/>
      <c r="E245" s="10"/>
      <c r="F245" s="10"/>
      <c r="G245" s="10"/>
      <c r="H245" s="12"/>
    </row>
    <row r="246" customFormat="false" ht="14.25" hidden="false" customHeight="false" outlineLevel="0" collapsed="false">
      <c r="A246" s="8" t="n">
        <f aca="false">A149</f>
        <v>45960</v>
      </c>
      <c r="B246" s="10" t="s">
        <v>8</v>
      </c>
      <c r="C246" s="10"/>
      <c r="D246" s="10"/>
      <c r="E246" s="10"/>
      <c r="F246" s="10"/>
      <c r="G246" s="10"/>
      <c r="H246" s="12"/>
    </row>
    <row r="247" customFormat="false" ht="14.25" hidden="false" customHeight="false" outlineLevel="0" collapsed="false">
      <c r="A247" s="8" t="n">
        <f aca="false">A150</f>
        <v>45960</v>
      </c>
      <c r="B247" s="10" t="s">
        <v>8</v>
      </c>
      <c r="C247" s="10"/>
      <c r="D247" s="10"/>
      <c r="E247" s="10"/>
      <c r="F247" s="10"/>
      <c r="G247" s="10"/>
      <c r="H247" s="12"/>
    </row>
    <row r="248" customFormat="false" ht="14.25" hidden="false" customHeight="false" outlineLevel="0" collapsed="false">
      <c r="A248" s="8" t="n">
        <f aca="false">A151</f>
        <v>45960</v>
      </c>
      <c r="B248" s="10" t="s">
        <v>19</v>
      </c>
      <c r="C248" s="10"/>
      <c r="D248" s="10"/>
      <c r="E248" s="10"/>
      <c r="F248" s="10"/>
      <c r="G248" s="10"/>
      <c r="H248" s="12"/>
    </row>
    <row r="249" customFormat="false" ht="14.25" hidden="false" customHeight="false" outlineLevel="0" collapsed="false">
      <c r="A249" s="8" t="n">
        <f aca="false">A152</f>
        <v>45960</v>
      </c>
      <c r="B249" s="10" t="s">
        <v>19</v>
      </c>
      <c r="C249" s="10"/>
      <c r="D249" s="10"/>
      <c r="E249" s="10"/>
      <c r="F249" s="10"/>
      <c r="G249" s="10"/>
      <c r="H249" s="12"/>
    </row>
    <row r="250" customFormat="false" ht="14.25" hidden="false" customHeight="false" outlineLevel="0" collapsed="false">
      <c r="A250" s="8" t="n">
        <f aca="false">A153</f>
        <v>45960</v>
      </c>
      <c r="B250" s="10" t="s">
        <v>19</v>
      </c>
      <c r="C250" s="10"/>
      <c r="D250" s="10"/>
      <c r="E250" s="10"/>
      <c r="F250" s="10"/>
      <c r="G250" s="10"/>
      <c r="H250" s="12"/>
    </row>
    <row r="251" customFormat="false" ht="14.25" hidden="false" customHeight="false" outlineLevel="0" collapsed="false">
      <c r="A251" s="8" t="n">
        <f aca="false">A154</f>
        <v>45967</v>
      </c>
      <c r="B251" s="10" t="s">
        <v>19</v>
      </c>
      <c r="C251" s="10"/>
      <c r="D251" s="10"/>
      <c r="E251" s="10"/>
      <c r="F251" s="10"/>
      <c r="G251" s="10"/>
      <c r="H251" s="12"/>
    </row>
    <row r="252" customFormat="false" ht="14.25" hidden="false" customHeight="false" outlineLevel="0" collapsed="false">
      <c r="A252" s="8" t="n">
        <f aca="false">A155</f>
        <v>45967</v>
      </c>
      <c r="B252" s="10" t="s">
        <v>19</v>
      </c>
      <c r="C252" s="13"/>
      <c r="D252" s="13"/>
      <c r="E252" s="13"/>
      <c r="F252" s="13"/>
      <c r="G252" s="13"/>
      <c r="H252" s="14"/>
    </row>
    <row r="253" customFormat="false" ht="14.25" hidden="false" customHeight="false" outlineLevel="0" collapsed="false">
      <c r="A253" s="19" t="n">
        <f aca="false">A156</f>
        <v>45967</v>
      </c>
      <c r="B253" s="20" t="s">
        <v>19</v>
      </c>
      <c r="C253" s="21"/>
      <c r="D253" s="21"/>
      <c r="E253" s="21"/>
      <c r="F253" s="21"/>
      <c r="G253" s="21"/>
      <c r="H253" s="22"/>
    </row>
    <row r="254" customFormat="false" ht="14.25" hidden="false" customHeight="false" outlineLevel="0" collapsed="false">
      <c r="A254" s="0" t="n">
        <f aca="false">A242</f>
        <v>45967</v>
      </c>
    </row>
    <row r="255" customFormat="false" ht="14.25" hidden="false" customHeight="false" outlineLevel="0" collapsed="false">
      <c r="A255" s="0" t="n">
        <f aca="false">A242</f>
        <v>45967</v>
      </c>
    </row>
    <row r="256" customFormat="false" ht="14.25" hidden="false" customHeight="false" outlineLevel="0" collapsed="false">
      <c r="A256" s="0" t="n">
        <f aca="false">A242</f>
        <v>45967</v>
      </c>
    </row>
    <row r="257" customFormat="false" ht="14.25" hidden="false" customHeight="false" outlineLevel="0" collapsed="false">
      <c r="A257" s="0" t="n">
        <f aca="false">A242</f>
        <v>45967</v>
      </c>
    </row>
    <row r="258" customFormat="false" ht="14.25" hidden="false" customHeight="false" outlineLevel="0" collapsed="false">
      <c r="A258" s="0" t="n">
        <f aca="false">A242</f>
        <v>45967</v>
      </c>
    </row>
    <row r="259" customFormat="false" ht="14.25" hidden="false" customHeight="false" outlineLevel="0" collapsed="false">
      <c r="A259" s="0" t="n">
        <f aca="false">A242</f>
        <v>45967</v>
      </c>
    </row>
    <row r="260" customFormat="false" ht="14.25" hidden="false" customHeight="false" outlineLevel="0" collapsed="false">
      <c r="A260" s="0" t="n">
        <f aca="false">A242</f>
        <v>45967</v>
      </c>
    </row>
    <row r="261" customFormat="false" ht="14.25" hidden="false" customHeight="false" outlineLevel="0" collapsed="false">
      <c r="A261" s="0" t="n">
        <f aca="false">A242</f>
        <v>45967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1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F64" activeCellId="0" sqref="F64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6.34"/>
    <col collapsed="false" customWidth="true" hidden="false" outlineLevel="0" max="2" min="2" style="0" width="11.33"/>
    <col collapsed="false" customWidth="true" hidden="false" outlineLevel="0" max="3" min="3" style="0" width="8.22"/>
    <col collapsed="false" customWidth="true" hidden="false" outlineLevel="0" max="4" min="4" style="0" width="15"/>
    <col collapsed="false" customWidth="true" hidden="false" outlineLevel="0" max="6" min="5" style="0" width="6.34"/>
    <col collapsed="false" customWidth="true" hidden="false" outlineLevel="0" max="11" min="11" style="0" width="96"/>
  </cols>
  <sheetData>
    <row r="1" customFormat="false" ht="15" hidden="false" customHeight="true" outlineLevel="0" collapsed="false">
      <c r="A1" s="25" t="s">
        <v>0</v>
      </c>
      <c r="B1" s="25" t="s">
        <v>1</v>
      </c>
      <c r="C1" s="25" t="s">
        <v>37</v>
      </c>
      <c r="D1" s="25" t="s">
        <v>38</v>
      </c>
      <c r="E1" s="25" t="s">
        <v>39</v>
      </c>
      <c r="F1" s="25" t="s">
        <v>40</v>
      </c>
    </row>
    <row r="2" customFormat="false" ht="14.25" hidden="false" customHeight="false" outlineLevel="0" collapsed="false">
      <c r="A2" s="13" t="n">
        <f aca="false">'Match Results'!A2</f>
        <v>45932</v>
      </c>
      <c r="B2" s="13" t="str">
        <f aca="false">'Match Results'!B2</f>
        <v>Power Court</v>
      </c>
      <c r="C2" s="13" t="n">
        <v>1</v>
      </c>
      <c r="D2" s="13" t="str">
        <f aca="false">'Match Results'!C2</f>
        <v>Vivek</v>
      </c>
      <c r="E2" s="13" t="str">
        <f aca="false">IF('Match Results'!E2&gt;'Match Results'!F2,"Win",IF('Match Results'!E2='Match Results'!F2,"Draw","Loss"))</f>
        <v>Win</v>
      </c>
      <c r="F2" s="13" t="n">
        <f aca="false">IF(E2="Win",3,IF(E2="Draw",2,1))</f>
        <v>3</v>
      </c>
    </row>
    <row r="3" customFormat="false" ht="14.25" hidden="false" customHeight="false" outlineLevel="0" collapsed="false">
      <c r="A3" s="13" t="n">
        <f aca="false">'Match Results'!A2</f>
        <v>45932</v>
      </c>
      <c r="B3" s="13" t="str">
        <f aca="false">'Match Results'!B3</f>
        <v>Power Court</v>
      </c>
      <c r="C3" s="13" t="n">
        <v>1</v>
      </c>
      <c r="D3" s="13" t="str">
        <f aca="false">'Match Results'!D2</f>
        <v>Sergio </v>
      </c>
      <c r="E3" s="13" t="str">
        <f aca="false">IF('Match Results'!E2&gt;'Match Results'!F2,"Win",IF('Match Results'!E2='Match Results'!F2,"Draw","Loss"))</f>
        <v>Win</v>
      </c>
      <c r="F3" s="13" t="n">
        <f aca="false">IF(E3="Win",3,IF(E3="Draw",2,1))</f>
        <v>3</v>
      </c>
    </row>
    <row r="4" customFormat="false" ht="14.25" hidden="false" customHeight="false" outlineLevel="0" collapsed="false">
      <c r="A4" s="13" t="n">
        <f aca="false">'Match Results'!A2</f>
        <v>45932</v>
      </c>
      <c r="B4" s="13" t="str">
        <f aca="false">'Match Results'!B4</f>
        <v>Power Court</v>
      </c>
      <c r="C4" s="13" t="n">
        <v>1</v>
      </c>
      <c r="D4" s="13" t="str">
        <f aca="false">'Match Results'!G2</f>
        <v>Bassam</v>
      </c>
      <c r="E4" s="13" t="str">
        <f aca="false">IF('Match Results'!F2&gt;'Match Results'!E2,"Win",IF('Match Results'!E2='Match Results'!F2,"Draw","Loss"))</f>
        <v>Loss</v>
      </c>
      <c r="F4" s="13" t="n">
        <f aca="false">IF(E4="Win",3,IF(E4="Draw",2,1))</f>
        <v>1</v>
      </c>
    </row>
    <row r="5" customFormat="false" ht="14.25" hidden="false" customHeight="false" outlineLevel="0" collapsed="false">
      <c r="A5" s="13" t="n">
        <f aca="false">'Match Results'!A2</f>
        <v>45932</v>
      </c>
      <c r="B5" s="13" t="str">
        <f aca="false">'Match Results'!B5</f>
        <v>Power Court</v>
      </c>
      <c r="C5" s="13" t="n">
        <v>1</v>
      </c>
      <c r="D5" s="13" t="str">
        <f aca="false">'Match Results'!H2</f>
        <v>Joel</v>
      </c>
      <c r="E5" s="13" t="str">
        <f aca="false">IF('Match Results'!F2&gt;'Match Results'!E2,"Win",IF('Match Results'!E2='Match Results'!F2,"Draw","Loss"))</f>
        <v>Loss</v>
      </c>
      <c r="F5" s="13" t="n">
        <f aca="false">IF(E5="Win",3,IF(E5="Draw",2,1))</f>
        <v>1</v>
      </c>
    </row>
    <row r="6" customFormat="false" ht="14.25" hidden="false" customHeight="false" outlineLevel="0" collapsed="false">
      <c r="A6" s="13" t="n">
        <f aca="false">'Match Results'!A3</f>
        <v>45932</v>
      </c>
      <c r="B6" s="13" t="str">
        <f aca="false">'Match Results'!B6</f>
        <v>Power Court</v>
      </c>
      <c r="C6" s="13" t="n">
        <v>2</v>
      </c>
      <c r="D6" s="13" t="str">
        <f aca="false">'Match Results'!C3</f>
        <v>Ahmad DD </v>
      </c>
      <c r="E6" s="13" t="str">
        <f aca="false">IF('Match Results'!E3&gt;'Match Results'!F3,"Win",IF('Match Results'!E3='Match Results'!F3,"Draw","Loss"))</f>
        <v>Draw</v>
      </c>
      <c r="F6" s="13" t="n">
        <f aca="false">IF(E6="Win",3,IF(E6="Draw",2,1))</f>
        <v>2</v>
      </c>
    </row>
    <row r="7" customFormat="false" ht="14.25" hidden="false" customHeight="false" outlineLevel="0" collapsed="false">
      <c r="A7" s="13" t="n">
        <f aca="false">'Match Results'!A3</f>
        <v>45932</v>
      </c>
      <c r="B7" s="13" t="str">
        <f aca="false">'Match Results'!B7</f>
        <v>Power Court</v>
      </c>
      <c r="C7" s="13" t="n">
        <v>2</v>
      </c>
      <c r="D7" s="13" t="str">
        <f aca="false">'Match Results'!D3</f>
        <v>Sergio </v>
      </c>
      <c r="E7" s="13" t="str">
        <f aca="false">IF('Match Results'!E3&gt;'Match Results'!F3,"Win",IF('Match Results'!E3='Match Results'!F3,"Draw","Loss"))</f>
        <v>Draw</v>
      </c>
      <c r="F7" s="13" t="n">
        <f aca="false">IF(E7="Win",3,IF(E7="Draw",2,1))</f>
        <v>2</v>
      </c>
    </row>
    <row r="8" customFormat="false" ht="14.25" hidden="false" customHeight="false" outlineLevel="0" collapsed="false">
      <c r="A8" s="13" t="n">
        <f aca="false">'Match Results'!A3</f>
        <v>45932</v>
      </c>
      <c r="B8" s="13" t="str">
        <f aca="false">'Match Results'!B8</f>
        <v>Power Court</v>
      </c>
      <c r="C8" s="13" t="n">
        <v>2</v>
      </c>
      <c r="D8" s="13" t="str">
        <f aca="false">'Match Results'!G3</f>
        <v>Vivek</v>
      </c>
      <c r="E8" s="13" t="str">
        <f aca="false">IF('Match Results'!F3&gt;'Match Results'!E3,"Win",IF('Match Results'!E3='Match Results'!F3,"Draw","Loss"))</f>
        <v>Draw</v>
      </c>
      <c r="F8" s="13" t="n">
        <f aca="false">IF(E8="Win",3,IF(E8="Draw",2,1))</f>
        <v>2</v>
      </c>
    </row>
    <row r="9" customFormat="false" ht="14.25" hidden="false" customHeight="false" outlineLevel="0" collapsed="false">
      <c r="A9" s="13" t="n">
        <f aca="false">'Match Results'!A3</f>
        <v>45932</v>
      </c>
      <c r="B9" s="13" t="str">
        <f aca="false">'Match Results'!B9</f>
        <v>Power Court</v>
      </c>
      <c r="C9" s="13" t="n">
        <v>2</v>
      </c>
      <c r="D9" s="13" t="str">
        <f aca="false">'Match Results'!H3</f>
        <v>Own </v>
      </c>
      <c r="E9" s="13" t="str">
        <f aca="false">IF('Match Results'!F3&gt;'Match Results'!E3,"Win",IF('Match Results'!E3='Match Results'!F3,"Draw","Loss"))</f>
        <v>Draw</v>
      </c>
      <c r="F9" s="13" t="n">
        <f aca="false">IF(E9="Win",3,IF(E9="Draw",2,1))</f>
        <v>2</v>
      </c>
    </row>
    <row r="10" customFormat="false" ht="14.25" hidden="false" customHeight="false" outlineLevel="0" collapsed="false">
      <c r="A10" s="13" t="n">
        <f aca="false">'Match Results'!A4</f>
        <v>45932</v>
      </c>
      <c r="B10" s="13" t="str">
        <f aca="false">'Match Results'!B10</f>
        <v>Power Court</v>
      </c>
      <c r="C10" s="13" t="n">
        <v>3</v>
      </c>
      <c r="D10" s="13" t="str">
        <f aca="false">'Match Results'!C4</f>
        <v>Ahmad DD </v>
      </c>
      <c r="E10" s="13" t="str">
        <f aca="false">IF('Match Results'!E4&gt;'Match Results'!F4,"Win",IF('Match Results'!E4='Match Results'!F4,"Draw","Loss"))</f>
        <v>Win</v>
      </c>
      <c r="F10" s="13" t="n">
        <f aca="false">IF(E10="Win",3,IF(E10="Draw",2,1))</f>
        <v>3</v>
      </c>
    </row>
    <row r="11" customFormat="false" ht="14.25" hidden="false" customHeight="false" outlineLevel="0" collapsed="false">
      <c r="A11" s="13" t="n">
        <f aca="false">'Match Results'!A4</f>
        <v>45932</v>
      </c>
      <c r="B11" s="13" t="str">
        <f aca="false">'Match Results'!B11</f>
        <v>Power Court</v>
      </c>
      <c r="C11" s="13" t="n">
        <v>3</v>
      </c>
      <c r="D11" s="13" t="str">
        <f aca="false">'Match Results'!D4</f>
        <v>Dana</v>
      </c>
      <c r="E11" s="13" t="str">
        <f aca="false">IF('Match Results'!E4&gt;'Match Results'!F4,"Win",IF('Match Results'!E4='Match Results'!F4,"Draw","Loss"))</f>
        <v>Win</v>
      </c>
      <c r="F11" s="13" t="n">
        <f aca="false">IF(E11="Win",3,IF(E11="Draw",2,1))</f>
        <v>3</v>
      </c>
    </row>
    <row r="12" customFormat="false" ht="14.25" hidden="false" customHeight="false" outlineLevel="0" collapsed="false">
      <c r="A12" s="13" t="n">
        <f aca="false">'Match Results'!A4</f>
        <v>45932</v>
      </c>
      <c r="B12" s="13" t="str">
        <f aca="false">'Match Results'!B12</f>
        <v>Rising Court</v>
      </c>
      <c r="C12" s="13" t="n">
        <v>3</v>
      </c>
      <c r="D12" s="13" t="str">
        <f aca="false">'Match Results'!G4</f>
        <v>Sergio </v>
      </c>
      <c r="E12" s="13" t="str">
        <f aca="false">IF('Match Results'!F4&gt;'Match Results'!E4,"Win",IF('Match Results'!E4='Match Results'!F4,"Draw","Loss"))</f>
        <v>Loss</v>
      </c>
      <c r="F12" s="13" t="n">
        <f aca="false">IF(E12="Win",3,IF(E12="Draw",2,1))</f>
        <v>1</v>
      </c>
    </row>
    <row r="13" customFormat="false" ht="14.25" hidden="false" customHeight="false" outlineLevel="0" collapsed="false">
      <c r="A13" s="13" t="n">
        <f aca="false">'Match Results'!A4</f>
        <v>45932</v>
      </c>
      <c r="B13" s="13" t="str">
        <f aca="false">'Match Results'!B13</f>
        <v>Rising Court</v>
      </c>
      <c r="C13" s="13" t="n">
        <v>3</v>
      </c>
      <c r="D13" s="13" t="str">
        <f aca="false">'Match Results'!H4</f>
        <v>Dauren</v>
      </c>
      <c r="E13" s="13" t="str">
        <f aca="false">IF('Match Results'!F4&gt;'Match Results'!E4,"Win",IF('Match Results'!E4='Match Results'!F4,"Draw","Loss"))</f>
        <v>Loss</v>
      </c>
      <c r="F13" s="13" t="n">
        <f aca="false">IF(E13="Win",3,IF(E13="Draw",2,1))</f>
        <v>1</v>
      </c>
    </row>
    <row r="14" customFormat="false" ht="14.25" hidden="false" customHeight="false" outlineLevel="0" collapsed="false">
      <c r="A14" s="13" t="n">
        <f aca="false">'Match Results'!A5</f>
        <v>45932</v>
      </c>
      <c r="B14" s="13" t="str">
        <f aca="false">'Match Results'!B14</f>
        <v>Rising Court</v>
      </c>
      <c r="C14" s="13" t="n">
        <v>4</v>
      </c>
      <c r="D14" s="13" t="str">
        <f aca="false">'Match Results'!C5</f>
        <v>Ahmad DD </v>
      </c>
      <c r="E14" s="13" t="str">
        <f aca="false">IF('Match Results'!E5&gt;'Match Results'!F5,"Win",IF('Match Results'!E5='Match Results'!F5,"Draw","Loss"))</f>
        <v>Win</v>
      </c>
      <c r="F14" s="13" t="n">
        <f aca="false">IF(E14="Win",3,IF(E14="Draw",2,1))</f>
        <v>3</v>
      </c>
    </row>
    <row r="15" customFormat="false" ht="14.25" hidden="false" customHeight="false" outlineLevel="0" collapsed="false">
      <c r="A15" s="13" t="n">
        <f aca="false">'Match Results'!A5</f>
        <v>45932</v>
      </c>
      <c r="B15" s="13" t="str">
        <f aca="false">'Match Results'!B15</f>
        <v>Rising Court</v>
      </c>
      <c r="C15" s="13" t="n">
        <v>4</v>
      </c>
      <c r="D15" s="13" t="str">
        <f aca="false">'Match Results'!D5</f>
        <v>Bassam</v>
      </c>
      <c r="E15" s="13" t="str">
        <f aca="false">IF('Match Results'!E5&gt;'Match Results'!F5,"Win",IF('Match Results'!E5='Match Results'!F5,"Draw","Loss"))</f>
        <v>Win</v>
      </c>
      <c r="F15" s="13" t="n">
        <f aca="false">IF(E15="Win",3,IF(E15="Draw",2,1))</f>
        <v>3</v>
      </c>
    </row>
    <row r="16" customFormat="false" ht="14.25" hidden="false" customHeight="false" outlineLevel="0" collapsed="false">
      <c r="A16" s="13" t="n">
        <f aca="false">'Match Results'!A5</f>
        <v>45932</v>
      </c>
      <c r="B16" s="13" t="str">
        <f aca="false">'Match Results'!B16</f>
        <v>Rising Court</v>
      </c>
      <c r="C16" s="13" t="n">
        <v>4</v>
      </c>
      <c r="D16" s="13" t="str">
        <f aca="false">'Match Results'!G5</f>
        <v>Bruno</v>
      </c>
      <c r="E16" s="13" t="str">
        <f aca="false">IF('Match Results'!F5&gt;'Match Results'!E5,"Win",IF('Match Results'!E5='Match Results'!F5,"Draw","Loss"))</f>
        <v>Loss</v>
      </c>
      <c r="F16" s="13" t="n">
        <f aca="false">IF(E16="Win",3,IF(E16="Draw",2,1))</f>
        <v>1</v>
      </c>
    </row>
    <row r="17" customFormat="false" ht="14.25" hidden="false" customHeight="false" outlineLevel="0" collapsed="false">
      <c r="A17" s="13" t="n">
        <f aca="false">'Match Results'!A5</f>
        <v>45932</v>
      </c>
      <c r="B17" s="13" t="str">
        <f aca="false">'Match Results'!B17</f>
        <v>Rising Court</v>
      </c>
      <c r="C17" s="13" t="n">
        <v>4</v>
      </c>
      <c r="D17" s="13" t="str">
        <f aca="false">'Match Results'!H5</f>
        <v>Dana</v>
      </c>
      <c r="E17" s="13" t="str">
        <f aca="false">IF('Match Results'!F5&gt;'Match Results'!E5,"Win",IF('Match Results'!E5='Match Results'!F5,"Draw","Loss"))</f>
        <v>Loss</v>
      </c>
      <c r="F17" s="13" t="n">
        <f aca="false">IF(E17="Win",3,IF(E17="Draw",2,1))</f>
        <v>1</v>
      </c>
    </row>
    <row r="18" customFormat="false" ht="14.25" hidden="false" customHeight="false" outlineLevel="0" collapsed="false">
      <c r="A18" s="13" t="n">
        <f aca="false">'Match Results'!A6</f>
        <v>45932</v>
      </c>
      <c r="B18" s="13" t="str">
        <f aca="false">'Match Results'!B18</f>
        <v>Rising Court</v>
      </c>
      <c r="C18" s="13" t="n">
        <v>5</v>
      </c>
      <c r="D18" s="13" t="str">
        <f aca="false">'Match Results'!C6</f>
        <v>Vivek</v>
      </c>
      <c r="E18" s="13" t="str">
        <f aca="false">IF('Match Results'!E6&gt;'Match Results'!F6,"Win",IF('Match Results'!E6='Match Results'!F6,"Draw","Loss"))</f>
        <v>Win</v>
      </c>
      <c r="F18" s="13" t="n">
        <f aca="false">IF(E18="Win",3,IF(E18="Draw",2,1))</f>
        <v>3</v>
      </c>
    </row>
    <row r="19" customFormat="false" ht="14.25" hidden="false" customHeight="false" outlineLevel="0" collapsed="false">
      <c r="A19" s="13" t="n">
        <f aca="false">'Match Results'!A6</f>
        <v>45932</v>
      </c>
      <c r="B19" s="13" t="str">
        <f aca="false">'Match Results'!B19</f>
        <v>Rising Court</v>
      </c>
      <c r="C19" s="13" t="n">
        <v>5</v>
      </c>
      <c r="D19" s="13" t="str">
        <f aca="false">'Match Results'!D6</f>
        <v>Joel</v>
      </c>
      <c r="E19" s="13" t="str">
        <f aca="false">IF('Match Results'!E6&gt;'Match Results'!F6,"Win",IF('Match Results'!E6='Match Results'!F6,"Draw","Loss"))</f>
        <v>Win</v>
      </c>
      <c r="F19" s="13" t="n">
        <f aca="false">IF(E19="Win",3,IF(E19="Draw",2,1))</f>
        <v>3</v>
      </c>
    </row>
    <row r="20" customFormat="false" ht="14.25" hidden="false" customHeight="false" outlineLevel="0" collapsed="false">
      <c r="A20" s="13" t="n">
        <f aca="false">'Match Results'!A6</f>
        <v>45932</v>
      </c>
      <c r="B20" s="13" t="str">
        <f aca="false">'Match Results'!B20</f>
        <v>Rising Court</v>
      </c>
      <c r="C20" s="13" t="n">
        <v>5</v>
      </c>
      <c r="D20" s="13" t="str">
        <f aca="false">'Match Results'!G6</f>
        <v>Ahmad DD </v>
      </c>
      <c r="E20" s="13" t="str">
        <f aca="false">IF('Match Results'!F6&gt;'Match Results'!E6,"Win",IF('Match Results'!E6='Match Results'!F6,"Draw","Loss"))</f>
        <v>Loss</v>
      </c>
      <c r="F20" s="13" t="n">
        <f aca="false">IF(E20="Win",3,IF(E20="Draw",2,1))</f>
        <v>1</v>
      </c>
    </row>
    <row r="21" customFormat="false" ht="14.25" hidden="false" customHeight="false" outlineLevel="0" collapsed="false">
      <c r="A21" s="13" t="n">
        <f aca="false">'Match Results'!A6</f>
        <v>45932</v>
      </c>
      <c r="B21" s="13" t="str">
        <f aca="false">'Match Results'!B21</f>
        <v>Rising Court</v>
      </c>
      <c r="C21" s="13" t="n">
        <v>5</v>
      </c>
      <c r="D21" s="13" t="str">
        <f aca="false">'Match Results'!H6</f>
        <v>Own </v>
      </c>
      <c r="E21" s="13" t="str">
        <f aca="false">IF('Match Results'!E12&gt;'Match Results'!F12,"Win",IF('Match Results'!E12='Match Results'!F12,"Draw","Loss"))</f>
        <v>Win</v>
      </c>
      <c r="F21" s="13" t="n">
        <f aca="false">IF(E21="Win",3,IF(E21="Draw",2,1))</f>
        <v>3</v>
      </c>
    </row>
    <row r="22" customFormat="false" ht="14.25" hidden="false" customHeight="false" outlineLevel="0" collapsed="false">
      <c r="A22" s="13" t="n">
        <f aca="false">'Match Results'!A6</f>
        <v>45932</v>
      </c>
      <c r="B22" s="13" t="str">
        <f aca="false">'Match Results'!B22</f>
        <v>Power Court</v>
      </c>
      <c r="C22" s="13" t="n">
        <v>6</v>
      </c>
      <c r="D22" s="13" t="str">
        <f aca="false">'Match Results'!C7</f>
        <v>Vivek</v>
      </c>
      <c r="E22" s="13" t="str">
        <f aca="false">IF('Match Results'!E7&gt;'Match Results'!F7,"Win",IF('Match Results'!E7='Match Results'!F8,"Draw","Loss"))</f>
        <v>Win</v>
      </c>
      <c r="F22" s="13" t="n">
        <f aca="false">IF(E22="Win",3,IF(E22="Draw",2,1))</f>
        <v>3</v>
      </c>
    </row>
    <row r="23" customFormat="false" ht="14.25" hidden="false" customHeight="false" outlineLevel="0" collapsed="false">
      <c r="A23" s="13" t="n">
        <f aca="false">'Match Results'!A6</f>
        <v>45932</v>
      </c>
      <c r="B23" s="13" t="str">
        <f aca="false">'Match Results'!B23</f>
        <v>Power Court</v>
      </c>
      <c r="C23" s="13" t="n">
        <v>6</v>
      </c>
      <c r="D23" s="13" t="str">
        <f aca="false">'Match Results'!D7</f>
        <v>Dauren</v>
      </c>
      <c r="E23" s="13" t="str">
        <f aca="false">IF('Match Results'!E7&gt;'Match Results'!F7,"Win",IF('Match Results'!E7='Match Results'!F8,"Draw","Loss"))</f>
        <v>Win</v>
      </c>
      <c r="F23" s="13" t="n">
        <f aca="false">IF(E23="Win",3,IF(E23="Draw",2,1))</f>
        <v>3</v>
      </c>
    </row>
    <row r="24" customFormat="false" ht="14.25" hidden="false" customHeight="false" outlineLevel="0" collapsed="false">
      <c r="A24" s="13" t="n">
        <f aca="false">'Match Results'!A6</f>
        <v>45932</v>
      </c>
      <c r="B24" s="13" t="str">
        <f aca="false">'Match Results'!B24</f>
        <v>Power Court</v>
      </c>
      <c r="C24" s="13" t="n">
        <v>6</v>
      </c>
      <c r="D24" s="13" t="str">
        <f aca="false">'Match Results'!G7</f>
        <v>Own </v>
      </c>
      <c r="E24" s="13" t="str">
        <f aca="false">IF('Match Results'!E7&gt;'Match Results'!F7,"Win",IF('Match Results'!E7='Match Results'!F8,"Draw","Loss"))</f>
        <v>Win</v>
      </c>
      <c r="F24" s="13" t="n">
        <f aca="false">IF(E24="Win",3,IF(E24="Draw",2,1))</f>
        <v>3</v>
      </c>
    </row>
    <row r="25" customFormat="false" ht="14.25" hidden="false" customHeight="false" outlineLevel="0" collapsed="false">
      <c r="A25" s="13" t="n">
        <f aca="false">'Match Results'!A6</f>
        <v>45932</v>
      </c>
      <c r="B25" s="13" t="str">
        <f aca="false">'Match Results'!B25</f>
        <v>Power Court</v>
      </c>
      <c r="C25" s="13" t="n">
        <v>6</v>
      </c>
      <c r="D25" s="13" t="str">
        <f aca="false">'Match Results'!H7</f>
        <v>Bruno</v>
      </c>
      <c r="E25" s="13" t="str">
        <f aca="false">IF('Match Results'!E7&gt;'Match Results'!F7,"Win",IF('Match Results'!E7='Match Results'!F8,"Draw","Loss"))</f>
        <v>Win</v>
      </c>
      <c r="F25" s="13" t="n">
        <f aca="false">IF(E25="Win",3,IF(E25="Draw",2,1))</f>
        <v>3</v>
      </c>
    </row>
    <row r="26" customFormat="false" ht="14.25" hidden="false" customHeight="false" outlineLevel="0" collapsed="false">
      <c r="A26" s="13" t="n">
        <f aca="false">'Match Results'!A8</f>
        <v>45932</v>
      </c>
      <c r="B26" s="13" t="str">
        <f aca="false">'Match Results'!B26</f>
        <v>Power Court</v>
      </c>
      <c r="C26" s="13" t="n">
        <v>7</v>
      </c>
      <c r="D26" s="13" t="str">
        <f aca="false">'Match Results'!C8</f>
        <v>Sergio </v>
      </c>
      <c r="E26" s="13" t="str">
        <f aca="false">IF('Match Results'!E8&gt;'Match Results'!F8,"Win",IF('Match Results'!E8='Match Results'!F8,"Draw","Loss"))</f>
        <v>Win</v>
      </c>
      <c r="F26" s="13" t="n">
        <f aca="false">IF(E26="Win",3,IF(E26="Draw",2,1))</f>
        <v>3</v>
      </c>
    </row>
    <row r="27" customFormat="false" ht="14.25" hidden="false" customHeight="false" outlineLevel="0" collapsed="false">
      <c r="A27" s="13" t="n">
        <f aca="false">'Match Results'!A8</f>
        <v>45932</v>
      </c>
      <c r="B27" s="13" t="str">
        <f aca="false">'Match Results'!B27</f>
        <v>Power Court</v>
      </c>
      <c r="C27" s="13" t="n">
        <v>7</v>
      </c>
      <c r="D27" s="13" t="str">
        <f aca="false">'Match Results'!D8</f>
        <v>Natalya</v>
      </c>
      <c r="E27" s="13" t="str">
        <f aca="false">IF('Match Results'!E8&gt;'Match Results'!F8,"Win",IF('Match Results'!E8='Match Results'!F8,"Draw","Loss"))</f>
        <v>Win</v>
      </c>
      <c r="F27" s="13" t="n">
        <f aca="false">IF(E27="Win",3,IF(E27="Draw",2,1))</f>
        <v>3</v>
      </c>
    </row>
    <row r="28" customFormat="false" ht="14.25" hidden="false" customHeight="false" outlineLevel="0" collapsed="false">
      <c r="A28" s="13" t="n">
        <f aca="false">'Match Results'!A8</f>
        <v>45932</v>
      </c>
      <c r="B28" s="13" t="str">
        <f aca="false">'Match Results'!B28</f>
        <v>Power Court</v>
      </c>
      <c r="C28" s="13" t="n">
        <v>7</v>
      </c>
      <c r="D28" s="13" t="str">
        <f aca="false">'Match Results'!G8</f>
        <v>Joel</v>
      </c>
      <c r="E28" s="13" t="str">
        <f aca="false">IF('Match Results'!F8&gt;'Match Results'!E8,"Win",IF('Match Results'!E8='Match Results'!F8,"Draw","Loss"))</f>
        <v>Loss</v>
      </c>
      <c r="F28" s="13" t="n">
        <f aca="false">IF(E28="Win",3,IF(E28="Draw",2,1))</f>
        <v>1</v>
      </c>
    </row>
    <row r="29" customFormat="false" ht="14.25" hidden="false" customHeight="false" outlineLevel="0" collapsed="false">
      <c r="A29" s="13" t="n">
        <f aca="false">'Match Results'!A8</f>
        <v>45932</v>
      </c>
      <c r="B29" s="13" t="str">
        <f aca="false">'Match Results'!B29</f>
        <v>Power Court</v>
      </c>
      <c r="C29" s="13" t="n">
        <v>7</v>
      </c>
      <c r="D29" s="13" t="str">
        <f aca="false">'Match Results'!H8</f>
        <v>Dana</v>
      </c>
      <c r="E29" s="13" t="str">
        <f aca="false">IF('Match Results'!F8&gt;'Match Results'!E8,"Win",IF('Match Results'!E8='Match Results'!F8,"Draw","Loss"))</f>
        <v>Loss</v>
      </c>
      <c r="F29" s="13" t="n">
        <f aca="false">IF(E29="Win",3,IF(E29="Draw",2,1))</f>
        <v>1</v>
      </c>
    </row>
    <row r="30" customFormat="false" ht="14.25" hidden="false" customHeight="false" outlineLevel="0" collapsed="false">
      <c r="A30" s="13" t="n">
        <f aca="false">'Match Results'!A9</f>
        <v>45932</v>
      </c>
      <c r="B30" s="13" t="str">
        <f aca="false">'Match Results'!B30</f>
        <v>Power Court</v>
      </c>
      <c r="C30" s="13" t="n">
        <v>8</v>
      </c>
      <c r="D30" s="13" t="str">
        <f aca="false">'Match Results'!C9</f>
        <v>Dauren</v>
      </c>
      <c r="E30" s="13" t="str">
        <f aca="false">IF('Match Results'!E9&gt;'Match Results'!F9,"Win",IF('Match Results'!E9='Match Results'!F9,"Draw","Loss"))</f>
        <v>Win</v>
      </c>
      <c r="F30" s="13" t="n">
        <f aca="false">IF(E30="Win",3,IF(E30="Draw",2,1))</f>
        <v>3</v>
      </c>
    </row>
    <row r="31" customFormat="false" ht="14.25" hidden="false" customHeight="false" outlineLevel="0" collapsed="false">
      <c r="A31" s="13" t="n">
        <f aca="false">'Match Results'!A9</f>
        <v>45932</v>
      </c>
      <c r="B31" s="13" t="str">
        <f aca="false">'Match Results'!B31</f>
        <v>Power Court</v>
      </c>
      <c r="C31" s="13" t="n">
        <v>8</v>
      </c>
      <c r="D31" s="13" t="str">
        <f aca="false">'Match Results'!D9</f>
        <v>Dana</v>
      </c>
      <c r="E31" s="13" t="str">
        <f aca="false">IF('Match Results'!E9&gt;'Match Results'!F9,"Win",IF('Match Results'!E9='Match Results'!F9,"Draw","Loss"))</f>
        <v>Win</v>
      </c>
      <c r="F31" s="13" t="n">
        <f aca="false">IF(E31="Win",3,IF(E31="Draw",2,1))</f>
        <v>3</v>
      </c>
    </row>
    <row r="32" customFormat="false" ht="14.25" hidden="false" customHeight="false" outlineLevel="0" collapsed="false">
      <c r="A32" s="13" t="n">
        <f aca="false">'Match Results'!A9</f>
        <v>45932</v>
      </c>
      <c r="B32" s="13" t="str">
        <f aca="false">'Match Results'!B32</f>
        <v>Rising Court</v>
      </c>
      <c r="C32" s="13" t="n">
        <v>8</v>
      </c>
      <c r="D32" s="13" t="str">
        <f aca="false">'Match Results'!G9</f>
        <v>Bruno</v>
      </c>
      <c r="E32" s="13" t="str">
        <f aca="false">IF('Match Results'!F9&gt;'Match Results'!E9,"Win",IF('Match Results'!E9='Match Results'!F9,"Draw","Loss"))</f>
        <v>Loss</v>
      </c>
      <c r="F32" s="13" t="n">
        <f aca="false">IF(E32="Win",3,IF(E32="Draw",2,1))</f>
        <v>1</v>
      </c>
    </row>
    <row r="33" customFormat="false" ht="14.25" hidden="false" customHeight="false" outlineLevel="0" collapsed="false">
      <c r="A33" s="13" t="n">
        <f aca="false">'Match Results'!A9</f>
        <v>45932</v>
      </c>
      <c r="B33" s="13" t="str">
        <f aca="false">'Match Results'!B33</f>
        <v>Rising Court</v>
      </c>
      <c r="C33" s="13" t="n">
        <v>8</v>
      </c>
      <c r="D33" s="13" t="str">
        <f aca="false">'Match Results'!H9</f>
        <v>Natalya</v>
      </c>
      <c r="E33" s="13" t="str">
        <f aca="false">IF('Match Results'!F9&gt;'Match Results'!E9,"Win",IF('Match Results'!E9='Match Results'!F9,"Draw","Loss"))</f>
        <v>Loss</v>
      </c>
      <c r="F33" s="13" t="n">
        <f aca="false">IF(E33="Win",3,IF(E33="Draw",2,1))</f>
        <v>1</v>
      </c>
    </row>
    <row r="34" customFormat="false" ht="14.25" hidden="false" customHeight="false" outlineLevel="0" collapsed="false">
      <c r="A34" s="13" t="n">
        <f aca="false">'Match Results'!A10</f>
        <v>45932</v>
      </c>
      <c r="B34" s="13" t="str">
        <f aca="false">'Match Results'!B34</f>
        <v>Rising Court</v>
      </c>
      <c r="C34" s="13" t="n">
        <v>9</v>
      </c>
      <c r="D34" s="13" t="str">
        <f aca="false">'Match Results'!C10</f>
        <v>Natalya</v>
      </c>
      <c r="E34" s="13" t="str">
        <f aca="false">IF('Match Results'!E10&gt;'Match Results'!F10,"Win",IF('Match Results'!E10='Match Results'!F10,"Draw","Loss"))</f>
        <v>Win</v>
      </c>
      <c r="F34" s="13" t="n">
        <f aca="false">IF(E34="Win",3,IF(E34="Draw",2,1))</f>
        <v>3</v>
      </c>
    </row>
    <row r="35" customFormat="false" ht="14.25" hidden="false" customHeight="false" outlineLevel="0" collapsed="false">
      <c r="A35" s="13" t="n">
        <f aca="false">'Match Results'!A10</f>
        <v>45932</v>
      </c>
      <c r="B35" s="13" t="str">
        <f aca="false">'Match Results'!B35</f>
        <v>Rising Court</v>
      </c>
      <c r="C35" s="13" t="n">
        <v>9</v>
      </c>
      <c r="D35" s="13" t="str">
        <f aca="false">'Match Results'!D10</f>
        <v>Vivek</v>
      </c>
      <c r="E35" s="13" t="str">
        <f aca="false">IF('Match Results'!E10&gt;'Match Results'!F10,"Win",IF('Match Results'!E10='Match Results'!F10,"Draw","Loss"))</f>
        <v>Win</v>
      </c>
      <c r="F35" s="13" t="n">
        <f aca="false">IF(E35="Win",3,IF(E35="Draw",2,1))</f>
        <v>3</v>
      </c>
    </row>
    <row r="36" customFormat="false" ht="14.25" hidden="false" customHeight="false" outlineLevel="0" collapsed="false">
      <c r="A36" s="13" t="n">
        <f aca="false">'Match Results'!A10</f>
        <v>45932</v>
      </c>
      <c r="B36" s="13" t="str">
        <f aca="false">'Match Results'!B36</f>
        <v>Rising Court</v>
      </c>
      <c r="C36" s="13" t="n">
        <v>9</v>
      </c>
      <c r="D36" s="13" t="str">
        <f aca="false">'Match Results'!G10</f>
        <v>Own </v>
      </c>
      <c r="E36" s="13" t="str">
        <f aca="false">IF('Match Results'!F10&gt;'Match Results'!E10,"Win",IF('Match Results'!E10='Match Results'!F10,"Draw","Loss"))</f>
        <v>Loss</v>
      </c>
      <c r="F36" s="13" t="n">
        <f aca="false">IF(E36="Win",3,IF(E36="Draw",2,1))</f>
        <v>1</v>
      </c>
    </row>
    <row r="37" customFormat="false" ht="14.25" hidden="false" customHeight="false" outlineLevel="0" collapsed="false">
      <c r="A37" s="13" t="n">
        <f aca="false">'Match Results'!A10</f>
        <v>45932</v>
      </c>
      <c r="B37" s="13" t="str">
        <f aca="false">'Match Results'!B37</f>
        <v>Rising Court</v>
      </c>
      <c r="C37" s="13" t="n">
        <v>9</v>
      </c>
      <c r="D37" s="13" t="str">
        <f aca="false">'Match Results'!H10</f>
        <v>Joel</v>
      </c>
      <c r="E37" s="13" t="str">
        <f aca="false">IF('Match Results'!F10&gt;'Match Results'!E10,"Win",IF('Match Results'!E10='Match Results'!F10,"Draw","Loss"))</f>
        <v>Loss</v>
      </c>
      <c r="F37" s="13" t="n">
        <f aca="false">IF(E37="Win",3,IF(E37="Draw",2,1))</f>
        <v>1</v>
      </c>
    </row>
    <row r="38" customFormat="false" ht="14.25" hidden="false" customHeight="false" outlineLevel="0" collapsed="false">
      <c r="A38" s="13" t="n">
        <f aca="false">'Match Results'!A11</f>
        <v>45932</v>
      </c>
      <c r="B38" s="13" t="str">
        <f aca="false">'Match Results'!B38</f>
        <v>Rising Court</v>
      </c>
      <c r="C38" s="13" t="n">
        <v>10</v>
      </c>
      <c r="D38" s="13" t="str">
        <f aca="false">'Match Results'!C11</f>
        <v>Natalya</v>
      </c>
      <c r="E38" s="13" t="str">
        <f aca="false">IF('Match Results'!E11&gt;'Match Results'!F11,"Win",IF('Match Results'!E11='Match Results'!F11,"Draw","Loss"))</f>
        <v>Loss</v>
      </c>
      <c r="F38" s="13" t="n">
        <f aca="false">IF(E38="Win",3,IF(E38="Draw",2,1))</f>
        <v>1</v>
      </c>
    </row>
    <row r="39" customFormat="false" ht="14.25" hidden="false" customHeight="false" outlineLevel="0" collapsed="false">
      <c r="A39" s="13" t="n">
        <f aca="false">'Match Results'!A11</f>
        <v>45932</v>
      </c>
      <c r="B39" s="13" t="str">
        <f aca="false">'Match Results'!B39</f>
        <v>Rising Court</v>
      </c>
      <c r="C39" s="13" t="n">
        <v>10</v>
      </c>
      <c r="D39" s="13" t="str">
        <f aca="false">'Match Results'!D11</f>
        <v>Bassam</v>
      </c>
      <c r="E39" s="13" t="str">
        <f aca="false">IF('Match Results'!E11&gt;'Match Results'!F11,"Win",IF('Match Results'!E11='Match Results'!F11,"Draw","Loss"))</f>
        <v>Loss</v>
      </c>
      <c r="F39" s="13" t="n">
        <f aca="false">IF(E39="Win",3,IF(E39="Draw",2,1))</f>
        <v>1</v>
      </c>
    </row>
    <row r="40" customFormat="false" ht="14.25" hidden="false" customHeight="false" outlineLevel="0" collapsed="false">
      <c r="A40" s="13" t="n">
        <f aca="false">'Match Results'!A11</f>
        <v>45932</v>
      </c>
      <c r="B40" s="13" t="str">
        <f aca="false">'Match Results'!B40</f>
        <v>Rising Court</v>
      </c>
      <c r="C40" s="13" t="n">
        <v>10</v>
      </c>
      <c r="D40" s="13" t="str">
        <f aca="false">'Match Results'!G11</f>
        <v>Vivek</v>
      </c>
      <c r="E40" s="13" t="str">
        <f aca="false">IF('Match Results'!F11&gt;'Match Results'!E11,"Win",IF('Match Results'!E11='Match Results'!F11,"Draw","Loss"))</f>
        <v>Win</v>
      </c>
      <c r="F40" s="13" t="n">
        <f aca="false">IF(E40="Win",3,IF(E40="Draw",2,1))</f>
        <v>3</v>
      </c>
    </row>
    <row r="41" customFormat="false" ht="14.25" hidden="false" customHeight="false" outlineLevel="0" collapsed="false">
      <c r="A41" s="13" t="n">
        <f aca="false">'Match Results'!A11</f>
        <v>45932</v>
      </c>
      <c r="B41" s="13" t="str">
        <f aca="false">'Match Results'!B41</f>
        <v>Rising Court</v>
      </c>
      <c r="C41" s="13" t="n">
        <v>10</v>
      </c>
      <c r="D41" s="13" t="str">
        <f aca="false">'Match Results'!H11</f>
        <v>Joel</v>
      </c>
      <c r="E41" s="13" t="str">
        <f aca="false">IF('Match Results'!F11&gt;'Match Results'!E11,"Win",IF('Match Results'!E11='Match Results'!F11,"Draw","Loss"))</f>
        <v>Win</v>
      </c>
      <c r="F41" s="13" t="n">
        <f aca="false">IF(E41="Win",3,IF(E41="Draw",2,1))</f>
        <v>3</v>
      </c>
    </row>
    <row r="42" customFormat="false" ht="14.25" hidden="false" customHeight="false" outlineLevel="0" collapsed="false">
      <c r="A42" s="13" t="n">
        <f aca="false">'Match Results'!A12</f>
        <v>45932</v>
      </c>
      <c r="B42" s="13" t="str">
        <f aca="false">'Match Results'!B42</f>
        <v>Power Court</v>
      </c>
      <c r="C42" s="13" t="n">
        <v>11</v>
      </c>
      <c r="D42" s="13" t="str">
        <f aca="false">'Match Results'!C12</f>
        <v>Bassam</v>
      </c>
      <c r="E42" s="13" t="str">
        <f aca="false">IF('Match Results'!E12&gt;'Match Results'!F12,"Win",IF('Match Results'!E12='Match Results'!F12,"Draw","Loss"))</f>
        <v>Win</v>
      </c>
      <c r="F42" s="13" t="n">
        <f aca="false">IF(E42="Win",3,IF(E42="Draw",2,1))</f>
        <v>3</v>
      </c>
    </row>
    <row r="43" customFormat="false" ht="14.25" hidden="false" customHeight="false" outlineLevel="0" collapsed="false">
      <c r="A43" s="13" t="n">
        <f aca="false">'Match Results'!A12</f>
        <v>45932</v>
      </c>
      <c r="B43" s="13" t="str">
        <f aca="false">'Match Results'!B43</f>
        <v>Power Court</v>
      </c>
      <c r="C43" s="13" t="n">
        <v>11</v>
      </c>
      <c r="D43" s="13" t="str">
        <f aca="false">'Match Results'!D12</f>
        <v>Dana</v>
      </c>
      <c r="E43" s="13" t="str">
        <f aca="false">IF('Match Results'!E12&gt;'Match Results'!F12,"Win",IF('Match Results'!E12='Match Results'!F12,"Draw","Loss"))</f>
        <v>Win</v>
      </c>
      <c r="F43" s="13" t="n">
        <f aca="false">IF(E43="Win",3,IF(E43="Draw",2,1))</f>
        <v>3</v>
      </c>
    </row>
    <row r="44" customFormat="false" ht="14.25" hidden="false" customHeight="false" outlineLevel="0" collapsed="false">
      <c r="A44" s="13" t="n">
        <f aca="false">'Match Results'!A12</f>
        <v>45932</v>
      </c>
      <c r="B44" s="13" t="str">
        <f aca="false">'Match Results'!B44</f>
        <v>Power Court</v>
      </c>
      <c r="C44" s="13" t="n">
        <v>11</v>
      </c>
      <c r="D44" s="13" t="str">
        <f aca="false">'Match Results'!G12</f>
        <v>Sergio </v>
      </c>
      <c r="E44" s="13" t="str">
        <f aca="false">IF('Match Results'!F12&gt;'Match Results'!E12,"Win",IF('Match Results'!E12='Match Results'!F12,"Draw","Loss"))</f>
        <v>Loss</v>
      </c>
      <c r="F44" s="13" t="n">
        <f aca="false">IF(E44="Win",3,IF(E44="Draw",2,1))</f>
        <v>1</v>
      </c>
    </row>
    <row r="45" customFormat="false" ht="14.25" hidden="false" customHeight="false" outlineLevel="0" collapsed="false">
      <c r="A45" s="13" t="n">
        <f aca="false">'Match Results'!A12</f>
        <v>45932</v>
      </c>
      <c r="B45" s="13" t="str">
        <f aca="false">'Match Results'!B45</f>
        <v>Power Court</v>
      </c>
      <c r="C45" s="13" t="n">
        <v>11</v>
      </c>
      <c r="D45" s="13" t="str">
        <f aca="false">'Match Results'!H12</f>
        <v>Natalya</v>
      </c>
      <c r="E45" s="13" t="str">
        <f aca="false">IF('Match Results'!F12&gt;'Match Results'!E12,"Win",IF('Match Results'!E12='Match Results'!F12,"Draw","Loss"))</f>
        <v>Loss</v>
      </c>
      <c r="F45" s="13" t="n">
        <f aca="false">IF(E45="Win",3,IF(E45="Draw",2,1))</f>
        <v>1</v>
      </c>
    </row>
    <row r="46" customFormat="false" ht="14.25" hidden="false" customHeight="false" outlineLevel="0" collapsed="false">
      <c r="A46" s="13" t="n">
        <f aca="false">'Match Results'!A13</f>
        <v>45932</v>
      </c>
      <c r="B46" s="13" t="str">
        <f aca="false">'Match Results'!B46</f>
        <v>Power Court</v>
      </c>
      <c r="C46" s="13" t="n">
        <v>12</v>
      </c>
      <c r="D46" s="13" t="n">
        <f aca="false">'Match Results'!C13</f>
        <v>0</v>
      </c>
      <c r="E46" s="13" t="str">
        <f aca="false">IF('Match Results'!E13&gt;'Match Results'!F13,"Win",IF('Match Results'!E13='Match Results'!F13,"Draw","Loss"))</f>
        <v>Draw</v>
      </c>
      <c r="F46" s="13" t="n">
        <f aca="false">IF(E46="Win",3,IF(E46="Draw",2,1))</f>
        <v>2</v>
      </c>
    </row>
    <row r="47" customFormat="false" ht="14.25" hidden="false" customHeight="false" outlineLevel="0" collapsed="false">
      <c r="A47" s="13" t="n">
        <f aca="false">'Match Results'!A13</f>
        <v>45932</v>
      </c>
      <c r="B47" s="13" t="str">
        <f aca="false">'Match Results'!B47</f>
        <v>Power Court</v>
      </c>
      <c r="C47" s="13" t="n">
        <v>12</v>
      </c>
      <c r="D47" s="13" t="n">
        <f aca="false">'Match Results'!D13</f>
        <v>0</v>
      </c>
      <c r="E47" s="13" t="str">
        <f aca="false">IF('Match Results'!E13&gt;'Match Results'!F13,"Win",IF('Match Results'!E13='Match Results'!F13,"Draw","Loss"))</f>
        <v>Draw</v>
      </c>
      <c r="F47" s="13" t="n">
        <f aca="false">IF(E47="Win",3,IF(E47="Draw",2,1))</f>
        <v>2</v>
      </c>
    </row>
    <row r="48" customFormat="false" ht="14.25" hidden="false" customHeight="false" outlineLevel="0" collapsed="false">
      <c r="A48" s="13" t="n">
        <f aca="false">'Match Results'!A13</f>
        <v>45932</v>
      </c>
      <c r="B48" s="13" t="str">
        <f aca="false">'Match Results'!B48</f>
        <v>Power Court</v>
      </c>
      <c r="C48" s="13" t="n">
        <v>12</v>
      </c>
      <c r="D48" s="13" t="n">
        <f aca="false">'Match Results'!G13</f>
        <v>0</v>
      </c>
      <c r="E48" s="13" t="str">
        <f aca="false">IF('Match Results'!F13&gt;'Match Results'!E13,"Win",IF('Match Results'!E13='Match Results'!F13,"Draw","Loss"))</f>
        <v>Draw</v>
      </c>
      <c r="F48" s="13" t="n">
        <f aca="false">IF(E48="Win",3,IF(E48="Draw",2,1))</f>
        <v>2</v>
      </c>
    </row>
    <row r="49" customFormat="false" ht="15" hidden="false" customHeight="true" outlineLevel="0" collapsed="false">
      <c r="A49" s="13" t="n">
        <f aca="false">'Match Results'!A13</f>
        <v>45932</v>
      </c>
      <c r="B49" s="13" t="str">
        <f aca="false">'Match Results'!B49</f>
        <v>Power Court</v>
      </c>
      <c r="C49" s="13" t="n">
        <v>12</v>
      </c>
      <c r="D49" s="13" t="n">
        <f aca="false">'Match Results'!H13</f>
        <v>0</v>
      </c>
      <c r="E49" s="13" t="str">
        <f aca="false">IF('Match Results'!F13&gt;'Match Results'!E13,"Win",IF('Match Results'!E13='Match Results'!F13,"Draw","Loss"))</f>
        <v>Draw</v>
      </c>
      <c r="F49" s="13" t="n">
        <f aca="false">IF(E49="Win",3,IF(E49="Draw",2,1))</f>
        <v>2</v>
      </c>
    </row>
    <row r="50" customFormat="false" ht="14.25" hidden="false" customHeight="false" outlineLevel="0" collapsed="false">
      <c r="A50" s="13" t="n">
        <f aca="false">'Match Results'!A14</f>
        <v>45932</v>
      </c>
      <c r="B50" s="13" t="str">
        <f aca="false">'Match Results'!B50</f>
        <v>Power Court</v>
      </c>
      <c r="C50" s="13" t="n">
        <v>13</v>
      </c>
      <c r="D50" s="13" t="n">
        <f aca="false">'Match Results'!C14</f>
        <v>0</v>
      </c>
      <c r="E50" s="13" t="str">
        <f aca="false">IF('Match Results'!E14&gt;'Match Results'!F14,"Win",IF('Match Results'!E14='Match Results'!F14,"Draw","Loss"))</f>
        <v>Draw</v>
      </c>
      <c r="F50" s="13" t="n">
        <f aca="false">IF(E50="Win",3,IF(E50="Draw",2,1))</f>
        <v>2</v>
      </c>
    </row>
    <row r="51" customFormat="false" ht="14.25" hidden="false" customHeight="false" outlineLevel="0" collapsed="false">
      <c r="A51" s="13" t="n">
        <f aca="false">'Match Results'!A14</f>
        <v>45932</v>
      </c>
      <c r="B51" s="13" t="str">
        <f aca="false">'Match Results'!B51</f>
        <v>Power Court</v>
      </c>
      <c r="C51" s="13" t="n">
        <v>13</v>
      </c>
      <c r="D51" s="13" t="n">
        <f aca="false">'Match Results'!D14</f>
        <v>0</v>
      </c>
      <c r="E51" s="13" t="str">
        <f aca="false">IF('Match Results'!E14&gt;'Match Results'!F14,"Win",IF('Match Results'!E14='Match Results'!F14,"Draw","Loss"))</f>
        <v>Draw</v>
      </c>
      <c r="F51" s="13" t="n">
        <f aca="false">IF(E51="Win",3,IF(E51="Draw",2,1))</f>
        <v>2</v>
      </c>
    </row>
    <row r="52" customFormat="false" ht="14.25" hidden="false" customHeight="false" outlineLevel="0" collapsed="false">
      <c r="A52" s="13" t="n">
        <f aca="false">'Match Results'!A14</f>
        <v>45932</v>
      </c>
      <c r="B52" s="13" t="str">
        <f aca="false">'Match Results'!B52</f>
        <v>Rising Court</v>
      </c>
      <c r="C52" s="13" t="n">
        <v>13</v>
      </c>
      <c r="D52" s="13" t="n">
        <f aca="false">'Match Results'!G14</f>
        <v>0</v>
      </c>
      <c r="E52" s="13" t="str">
        <f aca="false">IF('Match Results'!F14&gt;'Match Results'!E14,"Win",IF('Match Results'!E14='Match Results'!F14,"Draw","Loss"))</f>
        <v>Draw</v>
      </c>
      <c r="F52" s="13" t="n">
        <f aca="false">IF(E52="Win",3,IF(E52="Draw",2,1))</f>
        <v>2</v>
      </c>
    </row>
    <row r="53" customFormat="false" ht="14.25" hidden="false" customHeight="false" outlineLevel="0" collapsed="false">
      <c r="A53" s="13" t="n">
        <f aca="false">'Match Results'!A14</f>
        <v>45932</v>
      </c>
      <c r="B53" s="13" t="str">
        <f aca="false">'Match Results'!B53</f>
        <v>Rising Court</v>
      </c>
      <c r="C53" s="13" t="n">
        <v>13</v>
      </c>
      <c r="D53" s="13" t="n">
        <f aca="false">'Match Results'!H14</f>
        <v>0</v>
      </c>
      <c r="E53" s="13" t="str">
        <f aca="false">IF('Match Results'!F14&gt;'Match Results'!E14,"Win",IF('Match Results'!E14='Match Results'!F14,"Draw","Loss"))</f>
        <v>Draw</v>
      </c>
      <c r="F53" s="13" t="n">
        <f aca="false">IF(E53="Win",3,IF(E53="Draw",2,1))</f>
        <v>2</v>
      </c>
    </row>
    <row r="54" customFormat="false" ht="14.25" hidden="false" customHeight="false" outlineLevel="0" collapsed="false">
      <c r="A54" s="13" t="n">
        <f aca="false">'Match Results'!A15</f>
        <v>45932</v>
      </c>
      <c r="B54" s="13" t="str">
        <f aca="false">'Match Results'!B54</f>
        <v>Rising Court</v>
      </c>
      <c r="C54" s="13" t="n">
        <v>14</v>
      </c>
      <c r="D54" s="13" t="n">
        <f aca="false">'Match Results'!C15</f>
        <v>0</v>
      </c>
      <c r="E54" s="13" t="str">
        <f aca="false">IF('Match Results'!E15&gt;'Match Results'!F15,"Win",IF('Match Results'!E15='Match Results'!F15,"Draw","Loss"))</f>
        <v>Draw</v>
      </c>
      <c r="F54" s="13" t="n">
        <f aca="false">IF(E54="Win",3,IF(E54="Draw",2,1))</f>
        <v>2</v>
      </c>
    </row>
    <row r="55" customFormat="false" ht="14.25" hidden="false" customHeight="false" outlineLevel="0" collapsed="false">
      <c r="A55" s="13" t="n">
        <f aca="false">'Match Results'!A15</f>
        <v>45932</v>
      </c>
      <c r="B55" s="13" t="str">
        <f aca="false">'Match Results'!B55</f>
        <v>Rising Court</v>
      </c>
      <c r="C55" s="13" t="n">
        <v>14</v>
      </c>
      <c r="D55" s="13" t="n">
        <f aca="false">'Match Results'!D15</f>
        <v>0</v>
      </c>
      <c r="E55" s="13" t="str">
        <f aca="false">IF('Match Results'!E15&gt;'Match Results'!F15,"Win",IF('Match Results'!E15='Match Results'!F15,"Draw","Loss"))</f>
        <v>Draw</v>
      </c>
      <c r="F55" s="13" t="n">
        <f aca="false">IF(E55="Win",3,IF(E55="Draw",2,1))</f>
        <v>2</v>
      </c>
    </row>
    <row r="56" customFormat="false" ht="14.25" hidden="false" customHeight="false" outlineLevel="0" collapsed="false">
      <c r="A56" s="13" t="n">
        <f aca="false">'Match Results'!A15</f>
        <v>45932</v>
      </c>
      <c r="B56" s="13" t="str">
        <f aca="false">'Match Results'!B56</f>
        <v>Rising Court</v>
      </c>
      <c r="C56" s="13" t="n">
        <v>14</v>
      </c>
      <c r="D56" s="13" t="n">
        <f aca="false">'Match Results'!G15</f>
        <v>0</v>
      </c>
      <c r="E56" s="13" t="str">
        <f aca="false">IF('Match Results'!F15&gt;'Match Results'!E15,"Win",IF('Match Results'!E15='Match Results'!F15,"Draw","Loss"))</f>
        <v>Draw</v>
      </c>
      <c r="F56" s="13" t="n">
        <f aca="false">IF(E56="Win",3,IF(E56="Draw",2,1))</f>
        <v>2</v>
      </c>
    </row>
    <row r="57" customFormat="false" ht="14.25" hidden="false" customHeight="false" outlineLevel="0" collapsed="false">
      <c r="A57" s="13" t="n">
        <f aca="false">'Match Results'!A15</f>
        <v>45932</v>
      </c>
      <c r="B57" s="13" t="str">
        <f aca="false">'Match Results'!B57</f>
        <v>Rising Court</v>
      </c>
      <c r="C57" s="13" t="n">
        <v>14</v>
      </c>
      <c r="D57" s="13" t="n">
        <f aca="false">'Match Results'!H15</f>
        <v>0</v>
      </c>
      <c r="E57" s="13" t="str">
        <f aca="false">IF('Match Results'!F15&gt;'Match Results'!E15,"Win",IF('Match Results'!E15='Match Results'!F15,"Draw","Loss"))</f>
        <v>Draw</v>
      </c>
      <c r="F57" s="13" t="n">
        <f aca="false">IF(E57="Win",3,IF(E57="Draw",2,1))</f>
        <v>2</v>
      </c>
    </row>
    <row r="58" customFormat="false" ht="14.25" hidden="false" customHeight="false" outlineLevel="0" collapsed="false">
      <c r="A58" s="13" t="n">
        <f aca="false">'Match Results'!A16</f>
        <v>45932</v>
      </c>
      <c r="B58" s="13" t="str">
        <f aca="false">'Match Results'!B58</f>
        <v>Rising Court</v>
      </c>
      <c r="C58" s="13" t="n">
        <v>15</v>
      </c>
      <c r="D58" s="13" t="n">
        <f aca="false">'Match Results'!C16</f>
        <v>0</v>
      </c>
      <c r="E58" s="13" t="str">
        <f aca="false">IF('Match Results'!E16&gt;'Match Results'!F16,"Win",IF('Match Results'!E16='Match Results'!F16,"Draw","Loss"))</f>
        <v>Draw</v>
      </c>
      <c r="F58" s="13" t="n">
        <f aca="false">IF(E58="Win",3,IF(E58="Draw",2,1))</f>
        <v>2</v>
      </c>
    </row>
    <row r="59" customFormat="false" ht="14.25" hidden="false" customHeight="false" outlineLevel="0" collapsed="false">
      <c r="A59" s="13" t="n">
        <f aca="false">'Match Results'!A16</f>
        <v>45932</v>
      </c>
      <c r="B59" s="13" t="str">
        <f aca="false">'Match Results'!B59</f>
        <v>Rising Court</v>
      </c>
      <c r="C59" s="13" t="n">
        <v>15</v>
      </c>
      <c r="D59" s="13" t="n">
        <f aca="false">'Match Results'!D16</f>
        <v>0</v>
      </c>
      <c r="E59" s="13" t="str">
        <f aca="false">IF('Match Results'!E16&gt;'Match Results'!F16,"Win",IF('Match Results'!E16='Match Results'!F16,"Draw","Loss"))</f>
        <v>Draw</v>
      </c>
      <c r="F59" s="13" t="n">
        <f aca="false">IF(E59="Win",3,IF(E59="Draw",2,1))</f>
        <v>2</v>
      </c>
    </row>
    <row r="60" customFormat="false" ht="14.25" hidden="false" customHeight="false" outlineLevel="0" collapsed="false">
      <c r="A60" s="13" t="n">
        <f aca="false">'Match Results'!A16</f>
        <v>45932</v>
      </c>
      <c r="B60" s="13" t="str">
        <f aca="false">'Match Results'!B60</f>
        <v>Rising Court</v>
      </c>
      <c r="C60" s="13" t="n">
        <v>15</v>
      </c>
      <c r="D60" s="13" t="n">
        <f aca="false">'Match Results'!G16</f>
        <v>0</v>
      </c>
      <c r="E60" s="13" t="str">
        <f aca="false">IF('Match Results'!F16&gt;'Match Results'!E16,"Win",IF('Match Results'!E16='Match Results'!F16,"Draw","Loss"))</f>
        <v>Draw</v>
      </c>
      <c r="F60" s="13" t="n">
        <f aca="false">IF(E60="Win",3,IF(E60="Draw",2,1))</f>
        <v>2</v>
      </c>
    </row>
    <row r="61" customFormat="false" ht="14.25" hidden="false" customHeight="false" outlineLevel="0" collapsed="false">
      <c r="A61" s="13" t="n">
        <f aca="false">'Match Results'!A16</f>
        <v>45932</v>
      </c>
      <c r="B61" s="13" t="str">
        <f aca="false">'Match Results'!B61</f>
        <v>Rising Court</v>
      </c>
      <c r="C61" s="13" t="n">
        <v>15</v>
      </c>
      <c r="D61" s="13" t="n">
        <f aca="false">'Match Results'!H16</f>
        <v>0</v>
      </c>
      <c r="E61" s="13" t="str">
        <f aca="false">IF('Match Results'!F16&gt;'Match Results'!E16,"Win",IF('Match Results'!E16='Match Results'!F16,"Draw","Loss"))</f>
        <v>Draw</v>
      </c>
      <c r="F61" s="13" t="n">
        <f aca="false">IF(E61="Win",3,IF(E61="Draw",2,1))</f>
        <v>2</v>
      </c>
    </row>
    <row r="62" customFormat="false" ht="14.25" hidden="false" customHeight="false" outlineLevel="0" collapsed="false">
      <c r="A62" s="13" t="n">
        <f aca="false">'Match Results'!A17</f>
        <v>45932</v>
      </c>
      <c r="B62" s="13" t="str">
        <f aca="false">'Match Results'!B62</f>
        <v>Power Court</v>
      </c>
      <c r="C62" s="13" t="n">
        <v>16</v>
      </c>
      <c r="D62" s="13" t="n">
        <f aca="false">'Match Results'!C17</f>
        <v>0</v>
      </c>
      <c r="E62" s="13" t="str">
        <f aca="false">IF('Match Results'!E17&gt;'Match Results'!F17,"Win",IF('Match Results'!E17='Match Results'!F17,"Draw","Loss"))</f>
        <v>Draw</v>
      </c>
      <c r="F62" s="13" t="n">
        <f aca="false">IF(E62="Win",3,IF(E62="Draw",2,1))</f>
        <v>2</v>
      </c>
    </row>
    <row r="63" customFormat="false" ht="14.25" hidden="false" customHeight="false" outlineLevel="0" collapsed="false">
      <c r="A63" s="13" t="n">
        <f aca="false">'Match Results'!A17</f>
        <v>45932</v>
      </c>
      <c r="B63" s="13" t="str">
        <f aca="false">'Match Results'!B63</f>
        <v>Power Court</v>
      </c>
      <c r="C63" s="13" t="n">
        <v>16</v>
      </c>
      <c r="D63" s="13" t="n">
        <f aca="false">'Match Results'!D17</f>
        <v>0</v>
      </c>
      <c r="E63" s="13" t="str">
        <f aca="false">IF('Match Results'!E17&gt;'Match Results'!F17,"Win",IF('Match Results'!E17='Match Results'!F17,"Draw","Loss"))</f>
        <v>Draw</v>
      </c>
      <c r="F63" s="13" t="n">
        <f aca="false">IF(E63="Win",3,IF(E63="Draw",2,1))</f>
        <v>2</v>
      </c>
    </row>
    <row r="64" customFormat="false" ht="14.25" hidden="false" customHeight="false" outlineLevel="0" collapsed="false">
      <c r="A64" s="13" t="n">
        <f aca="false">'Match Results'!A17</f>
        <v>45932</v>
      </c>
      <c r="B64" s="13" t="str">
        <f aca="false">'Match Results'!B64</f>
        <v>Power Court</v>
      </c>
      <c r="C64" s="13" t="n">
        <v>16</v>
      </c>
      <c r="D64" s="13" t="n">
        <f aca="false">'Match Results'!G17</f>
        <v>0</v>
      </c>
      <c r="E64" s="13" t="str">
        <f aca="false">IF('Match Results'!F17&gt;'Match Results'!E17,"Win",IF('Match Results'!E17='Match Results'!F17,"Draw","Loss"))</f>
        <v>Draw</v>
      </c>
      <c r="F64" s="13" t="n">
        <f aca="false">IF(E64="Win",3,IF(E64="Draw",2,1))</f>
        <v>2</v>
      </c>
    </row>
    <row r="65" customFormat="false" ht="14.25" hidden="false" customHeight="false" outlineLevel="0" collapsed="false">
      <c r="A65" s="13" t="n">
        <f aca="false">'Match Results'!A17</f>
        <v>45932</v>
      </c>
      <c r="B65" s="13" t="str">
        <f aca="false">'Match Results'!B65</f>
        <v>Power Court</v>
      </c>
      <c r="C65" s="13" t="n">
        <v>16</v>
      </c>
      <c r="D65" s="13" t="n">
        <f aca="false">'Match Results'!H17</f>
        <v>0</v>
      </c>
      <c r="E65" s="13" t="str">
        <f aca="false">IF('Match Results'!F17&gt;'Match Results'!E17,"Win",IF('Match Results'!E17='Match Results'!F17,"Draw","Loss"))</f>
        <v>Draw</v>
      </c>
      <c r="F65" s="13" t="n">
        <f aca="false">IF(E65="Win",3,IF(E65="Draw",2,1))</f>
        <v>2</v>
      </c>
    </row>
    <row r="66" customFormat="false" ht="14.25" hidden="false" customHeight="false" outlineLevel="0" collapsed="false">
      <c r="A66" s="13" t="n">
        <f aca="false">'Match Results'!A18</f>
        <v>45932</v>
      </c>
      <c r="B66" s="13" t="str">
        <f aca="false">'Match Results'!B66</f>
        <v>Power Court</v>
      </c>
      <c r="C66" s="13" t="n">
        <v>17</v>
      </c>
      <c r="D66" s="13" t="n">
        <f aca="false">'Match Results'!C18</f>
        <v>0</v>
      </c>
      <c r="E66" s="13" t="str">
        <f aca="false">IF('Match Results'!E18&gt;'Match Results'!F18,"Win",IF('Match Results'!E18='Match Results'!F18,"Draw","Loss"))</f>
        <v>Draw</v>
      </c>
      <c r="F66" s="13" t="n">
        <f aca="false">IF(E66="Win",3,IF(E66="Draw",2,1))</f>
        <v>2</v>
      </c>
    </row>
    <row r="67" customFormat="false" ht="14.25" hidden="false" customHeight="false" outlineLevel="0" collapsed="false">
      <c r="A67" s="13" t="n">
        <f aca="false">'Match Results'!A18</f>
        <v>45932</v>
      </c>
      <c r="B67" s="13" t="str">
        <f aca="false">'Match Results'!B67</f>
        <v>Power Court</v>
      </c>
      <c r="C67" s="13" t="n">
        <v>17</v>
      </c>
      <c r="D67" s="13" t="n">
        <f aca="false">'Match Results'!D18</f>
        <v>0</v>
      </c>
      <c r="E67" s="13" t="str">
        <f aca="false">IF('Match Results'!E18&gt;'Match Results'!F18,"Win",IF('Match Results'!E18='Match Results'!F18,"Draw","Loss"))</f>
        <v>Draw</v>
      </c>
      <c r="F67" s="13" t="n">
        <f aca="false">IF(E67="Win",3,IF(E67="Draw",2,1))</f>
        <v>2</v>
      </c>
    </row>
    <row r="68" customFormat="false" ht="14.25" hidden="false" customHeight="false" outlineLevel="0" collapsed="false">
      <c r="A68" s="13" t="n">
        <f aca="false">'Match Results'!A18</f>
        <v>45932</v>
      </c>
      <c r="B68" s="13" t="str">
        <f aca="false">'Match Results'!B68</f>
        <v>Power Court</v>
      </c>
      <c r="C68" s="13" t="n">
        <v>17</v>
      </c>
      <c r="D68" s="13" t="n">
        <f aca="false">'Match Results'!G18</f>
        <v>0</v>
      </c>
      <c r="E68" s="13" t="str">
        <f aca="false">IF('Match Results'!F18&gt;'Match Results'!E18,"Win",IF('Match Results'!E18='Match Results'!F18,"Draw","Loss"))</f>
        <v>Draw</v>
      </c>
      <c r="F68" s="13" t="n">
        <f aca="false">IF(E68="Win",3,IF(E68="Draw",2,1))</f>
        <v>2</v>
      </c>
    </row>
    <row r="69" customFormat="false" ht="14.25" hidden="false" customHeight="false" outlineLevel="0" collapsed="false">
      <c r="A69" s="13" t="n">
        <f aca="false">'Match Results'!A18</f>
        <v>45932</v>
      </c>
      <c r="B69" s="13" t="str">
        <f aca="false">'Match Results'!B69</f>
        <v>Power Court</v>
      </c>
      <c r="C69" s="13" t="n">
        <v>17</v>
      </c>
      <c r="D69" s="13" t="n">
        <f aca="false">'Match Results'!H18</f>
        <v>0</v>
      </c>
      <c r="E69" s="13" t="str">
        <f aca="false">IF('Match Results'!F18&gt;'Match Results'!E18,"Win",IF('Match Results'!E18='Match Results'!F18,"Draw","Loss"))</f>
        <v>Draw</v>
      </c>
      <c r="F69" s="13" t="n">
        <f aca="false">IF(E69="Win",3,IF(E69="Draw",2,1))</f>
        <v>2</v>
      </c>
    </row>
    <row r="70" customFormat="false" ht="14.25" hidden="false" customHeight="false" outlineLevel="0" collapsed="false">
      <c r="A70" s="13" t="n">
        <f aca="false">'Match Results'!A19</f>
        <v>45932</v>
      </c>
      <c r="B70" s="13" t="str">
        <f aca="false">'Match Results'!B70</f>
        <v>Power Court</v>
      </c>
      <c r="C70" s="13" t="n">
        <v>18</v>
      </c>
      <c r="D70" s="13" t="n">
        <f aca="false">'Match Results'!C19</f>
        <v>0</v>
      </c>
      <c r="E70" s="13" t="str">
        <f aca="false">IF('Match Results'!E19&gt;'Match Results'!F19,"Win",IF('Match Results'!E19='Match Results'!F19,"Draw","Loss"))</f>
        <v>Draw</v>
      </c>
      <c r="F70" s="13" t="n">
        <f aca="false">IF(E70="Win",3,IF(E70="Draw",2,1))</f>
        <v>2</v>
      </c>
    </row>
    <row r="71" customFormat="false" ht="14.25" hidden="false" customHeight="false" outlineLevel="0" collapsed="false">
      <c r="A71" s="13" t="n">
        <f aca="false">'Match Results'!A19</f>
        <v>45932</v>
      </c>
      <c r="B71" s="13" t="str">
        <f aca="false">'Match Results'!B71</f>
        <v>Power Court</v>
      </c>
      <c r="C71" s="13" t="n">
        <v>18</v>
      </c>
      <c r="D71" s="13" t="n">
        <f aca="false">'Match Results'!D19</f>
        <v>0</v>
      </c>
      <c r="E71" s="13" t="str">
        <f aca="false">IF('Match Results'!E19&gt;'Match Results'!F19,"Win",IF('Match Results'!E19='Match Results'!F19,"Draw","Loss"))</f>
        <v>Draw</v>
      </c>
      <c r="F71" s="13" t="n">
        <f aca="false">IF(E71="Win",3,IF(E71="Draw",2,1))</f>
        <v>2</v>
      </c>
    </row>
    <row r="72" customFormat="false" ht="14.25" hidden="false" customHeight="false" outlineLevel="0" collapsed="false">
      <c r="A72" s="13" t="n">
        <f aca="false">'Match Results'!A19</f>
        <v>45932</v>
      </c>
      <c r="B72" s="13" t="str">
        <f aca="false">'Match Results'!B72</f>
        <v>Rising Court</v>
      </c>
      <c r="C72" s="13" t="n">
        <v>18</v>
      </c>
      <c r="D72" s="13" t="n">
        <f aca="false">'Match Results'!G19</f>
        <v>0</v>
      </c>
      <c r="E72" s="13" t="str">
        <f aca="false">IF('Match Results'!F19&gt;'Match Results'!E19,"Win",IF('Match Results'!E19='Match Results'!F19,"Draw","Loss"))</f>
        <v>Draw</v>
      </c>
      <c r="F72" s="13" t="n">
        <f aca="false">IF(E72="Win",3,IF(E72="Draw",2,1))</f>
        <v>2</v>
      </c>
    </row>
    <row r="73" customFormat="false" ht="14.25" hidden="false" customHeight="false" outlineLevel="0" collapsed="false">
      <c r="A73" s="13" t="n">
        <f aca="false">'Match Results'!A19</f>
        <v>45932</v>
      </c>
      <c r="B73" s="13" t="str">
        <f aca="false">'Match Results'!B73</f>
        <v>Rising Court</v>
      </c>
      <c r="C73" s="13" t="n">
        <v>18</v>
      </c>
      <c r="D73" s="13" t="n">
        <f aca="false">'Match Results'!H19</f>
        <v>0</v>
      </c>
      <c r="E73" s="13" t="str">
        <f aca="false">IF('Match Results'!F19&gt;'Match Results'!E19,"Win",IF('Match Results'!E19='Match Results'!F19,"Draw","Loss"))</f>
        <v>Draw</v>
      </c>
      <c r="F73" s="13" t="n">
        <f aca="false">IF(E73="Win",3,IF(E73="Draw",2,1))</f>
        <v>2</v>
      </c>
    </row>
    <row r="74" customFormat="false" ht="14.25" hidden="false" customHeight="false" outlineLevel="0" collapsed="false">
      <c r="A74" s="13" t="n">
        <f aca="false">'Match Results'!A20</f>
        <v>45932</v>
      </c>
      <c r="B74" s="13" t="str">
        <f aca="false">'Match Results'!B74</f>
        <v>Rising Court</v>
      </c>
      <c r="C74" s="13" t="n">
        <v>19</v>
      </c>
      <c r="D74" s="13" t="n">
        <f aca="false">'Match Results'!C20</f>
        <v>0</v>
      </c>
      <c r="E74" s="13" t="str">
        <f aca="false">IF('Match Results'!E20&gt;'Match Results'!F20,"Win",IF('Match Results'!E20='Match Results'!F20,"Draw","Loss"))</f>
        <v>Draw</v>
      </c>
      <c r="F74" s="13" t="n">
        <f aca="false">IF(E74="Win",3,IF(E74="Draw",2,1))</f>
        <v>2</v>
      </c>
    </row>
    <row r="75" customFormat="false" ht="14.25" hidden="false" customHeight="false" outlineLevel="0" collapsed="false">
      <c r="A75" s="13" t="n">
        <f aca="false">'Match Results'!A20</f>
        <v>45932</v>
      </c>
      <c r="B75" s="13" t="str">
        <f aca="false">'Match Results'!B75</f>
        <v>Rising Court</v>
      </c>
      <c r="C75" s="13" t="n">
        <v>19</v>
      </c>
      <c r="D75" s="13" t="n">
        <f aca="false">'Match Results'!D20</f>
        <v>0</v>
      </c>
      <c r="E75" s="13" t="str">
        <f aca="false">IF('Match Results'!E20&gt;'Match Results'!F20,"Win",IF('Match Results'!E20='Match Results'!F20,"Draw","Loss"))</f>
        <v>Draw</v>
      </c>
      <c r="F75" s="13" t="n">
        <f aca="false">IF(E75="Win",3,IF(E75="Draw",2,1))</f>
        <v>2</v>
      </c>
    </row>
    <row r="76" customFormat="false" ht="14.25" hidden="false" customHeight="false" outlineLevel="0" collapsed="false">
      <c r="A76" s="13" t="n">
        <f aca="false">'Match Results'!A20</f>
        <v>45932</v>
      </c>
      <c r="B76" s="13" t="str">
        <f aca="false">'Match Results'!B76</f>
        <v>Rising Court</v>
      </c>
      <c r="C76" s="13" t="n">
        <v>19</v>
      </c>
      <c r="D76" s="13" t="n">
        <f aca="false">'Match Results'!G20</f>
        <v>0</v>
      </c>
      <c r="E76" s="13" t="str">
        <f aca="false">IF('Match Results'!F20&gt;'Match Results'!E20,"Win",IF('Match Results'!E20='Match Results'!F20,"Draw","Loss"))</f>
        <v>Draw</v>
      </c>
      <c r="F76" s="13" t="n">
        <f aca="false">IF(E76="Win",3,IF(E76="Draw",2,1))</f>
        <v>2</v>
      </c>
    </row>
    <row r="77" customFormat="false" ht="14.25" hidden="false" customHeight="false" outlineLevel="0" collapsed="false">
      <c r="A77" s="13" t="n">
        <f aca="false">'Match Results'!A20</f>
        <v>45932</v>
      </c>
      <c r="B77" s="13" t="str">
        <f aca="false">'Match Results'!B77</f>
        <v>Rising Court</v>
      </c>
      <c r="C77" s="13" t="n">
        <v>19</v>
      </c>
      <c r="D77" s="13" t="n">
        <f aca="false">'Match Results'!H20</f>
        <v>0</v>
      </c>
      <c r="E77" s="13" t="str">
        <f aca="false">IF('Match Results'!F20&gt;'Match Results'!E20,"Win",IF('Match Results'!E20='Match Results'!F20,"Draw","Loss"))</f>
        <v>Draw</v>
      </c>
      <c r="F77" s="13" t="n">
        <f aca="false">IF(E77="Win",3,IF(E77="Draw",2,1))</f>
        <v>2</v>
      </c>
    </row>
    <row r="78" customFormat="false" ht="14.25" hidden="false" customHeight="false" outlineLevel="0" collapsed="false">
      <c r="A78" s="13" t="n">
        <f aca="false">'Match Results'!A21</f>
        <v>45932</v>
      </c>
      <c r="B78" s="13" t="str">
        <f aca="false">'Match Results'!B78</f>
        <v>Rising Court</v>
      </c>
      <c r="C78" s="13" t="n">
        <v>20</v>
      </c>
      <c r="D78" s="13" t="n">
        <f aca="false">'Match Results'!C21</f>
        <v>0</v>
      </c>
      <c r="E78" s="13" t="str">
        <f aca="false">IF('Match Results'!E21&gt;'Match Results'!F21,"Win",IF('Match Results'!E21='Match Results'!F21,"Draw","Loss"))</f>
        <v>Draw</v>
      </c>
      <c r="F78" s="13" t="n">
        <f aca="false">IF(E78="Win",3,IF(E78="Draw",2,1))</f>
        <v>2</v>
      </c>
    </row>
    <row r="79" customFormat="false" ht="14.25" hidden="false" customHeight="false" outlineLevel="0" collapsed="false">
      <c r="A79" s="13" t="n">
        <f aca="false">'Match Results'!A21</f>
        <v>45932</v>
      </c>
      <c r="B79" s="13" t="str">
        <f aca="false">'Match Results'!B79</f>
        <v>Rising Court</v>
      </c>
      <c r="C79" s="13" t="n">
        <v>20</v>
      </c>
      <c r="D79" s="13" t="n">
        <f aca="false">'Match Results'!D21</f>
        <v>0</v>
      </c>
      <c r="E79" s="13" t="str">
        <f aca="false">IF('Match Results'!E21&gt;'Match Results'!F21,"Win",IF('Match Results'!E21='Match Results'!F21,"Draw","Loss"))</f>
        <v>Draw</v>
      </c>
      <c r="F79" s="13" t="n">
        <f aca="false">IF(E79="Win",3,IF(E79="Draw",2,1))</f>
        <v>2</v>
      </c>
    </row>
    <row r="80" customFormat="false" ht="14.25" hidden="false" customHeight="false" outlineLevel="0" collapsed="false">
      <c r="A80" s="13" t="n">
        <f aca="false">'Match Results'!A21</f>
        <v>45932</v>
      </c>
      <c r="B80" s="13" t="str">
        <f aca="false">'Match Results'!B80</f>
        <v>Rising Court</v>
      </c>
      <c r="C80" s="13" t="n">
        <v>20</v>
      </c>
      <c r="D80" s="13" t="n">
        <f aca="false">'Match Results'!G21</f>
        <v>0</v>
      </c>
      <c r="E80" s="13" t="str">
        <f aca="false">IF('Match Results'!F21&gt;'Match Results'!E21,"Win",IF('Match Results'!E21='Match Results'!F21,"Draw","Loss"))</f>
        <v>Draw</v>
      </c>
      <c r="F80" s="13" t="n">
        <f aca="false">IF(E80="Win",3,IF(E80="Draw",2,1))</f>
        <v>2</v>
      </c>
    </row>
    <row r="81" customFormat="false" ht="14.25" hidden="false" customHeight="false" outlineLevel="0" collapsed="false">
      <c r="A81" s="13" t="n">
        <f aca="false">'Match Results'!A21</f>
        <v>45932</v>
      </c>
      <c r="B81" s="13" t="str">
        <f aca="false">'Match Results'!B81</f>
        <v>Rising Court</v>
      </c>
      <c r="C81" s="13" t="n">
        <v>20</v>
      </c>
      <c r="D81" s="13" t="n">
        <f aca="false">'Match Results'!H21</f>
        <v>0</v>
      </c>
      <c r="E81" s="13" t="str">
        <f aca="false">IF('Match Results'!F21&gt;'Match Results'!E21,"Win",IF('Match Results'!E21='Match Results'!F21,"Draw","Loss"))</f>
        <v>Draw</v>
      </c>
      <c r="F81" s="13" t="n">
        <f aca="false">IF(E81="Win",3,IF(E81="Draw",2,1))</f>
        <v>2</v>
      </c>
    </row>
    <row r="82" customFormat="false" ht="14.25" hidden="false" customHeight="false" outlineLevel="0" collapsed="false">
      <c r="A82" s="13" t="n">
        <f aca="false">'Match Results'!A22</f>
        <v>45939</v>
      </c>
      <c r="B82" s="13" t="str">
        <f aca="false">'Match Results'!B82</f>
        <v>Power Court</v>
      </c>
      <c r="C82" s="13" t="n">
        <v>21</v>
      </c>
      <c r="D82" s="13" t="str">
        <f aca="false">'Match Results'!C22</f>
        <v>Tin </v>
      </c>
      <c r="E82" s="13" t="str">
        <f aca="false">IF('Match Results'!E22&gt;'Match Results'!F22,"Win",IF('Match Results'!E22='Match Results'!F22,"Draw","Loss"))</f>
        <v>Loss</v>
      </c>
      <c r="F82" s="13" t="n">
        <f aca="false">IF(E82="Win",3,IF(E82="Draw",2,1))</f>
        <v>1</v>
      </c>
    </row>
    <row r="83" customFormat="false" ht="14.25" hidden="false" customHeight="false" outlineLevel="0" collapsed="false">
      <c r="A83" s="13" t="n">
        <f aca="false">'Match Results'!A22</f>
        <v>45939</v>
      </c>
      <c r="B83" s="13" t="str">
        <f aca="false">'Match Results'!B83</f>
        <v>Power Court</v>
      </c>
      <c r="C83" s="13" t="n">
        <v>21</v>
      </c>
      <c r="D83" s="13" t="str">
        <f aca="false">'Match Results'!D22</f>
        <v>Bruno</v>
      </c>
      <c r="E83" s="13" t="str">
        <f aca="false">IF('Match Results'!E22&gt;'Match Results'!F22,"Win",IF('Match Results'!E22='Match Results'!F22,"Draw","Loss"))</f>
        <v>Loss</v>
      </c>
      <c r="F83" s="13" t="n">
        <f aca="false">IF(E83="Win",3,IF(E83="Draw",2,1))</f>
        <v>1</v>
      </c>
    </row>
    <row r="84" customFormat="false" ht="14.25" hidden="false" customHeight="false" outlineLevel="0" collapsed="false">
      <c r="A84" s="13" t="n">
        <f aca="false">'Match Results'!A22</f>
        <v>45939</v>
      </c>
      <c r="B84" s="13" t="str">
        <f aca="false">'Match Results'!B84</f>
        <v>Power Court</v>
      </c>
      <c r="C84" s="13" t="n">
        <v>21</v>
      </c>
      <c r="D84" s="13" t="str">
        <f aca="false">'Match Results'!G22</f>
        <v>Joel</v>
      </c>
      <c r="E84" s="13" t="str">
        <f aca="false">IF('Match Results'!F22&gt;'Match Results'!E22,"Win",IF('Match Results'!E22='Match Results'!F22,"Draw","Loss"))</f>
        <v>Win</v>
      </c>
      <c r="F84" s="13" t="n">
        <f aca="false">IF(E84="Win",3,IF(E84="Draw",2,1))</f>
        <v>3</v>
      </c>
    </row>
    <row r="85" customFormat="false" ht="14.25" hidden="false" customHeight="false" outlineLevel="0" collapsed="false">
      <c r="A85" s="13" t="n">
        <f aca="false">'Match Results'!A22</f>
        <v>45939</v>
      </c>
      <c r="B85" s="13" t="str">
        <f aca="false">'Match Results'!B85</f>
        <v>Power Court</v>
      </c>
      <c r="C85" s="13" t="n">
        <v>21</v>
      </c>
      <c r="D85" s="13" t="str">
        <f aca="false">'Match Results'!H22</f>
        <v>Hazem</v>
      </c>
      <c r="E85" s="13" t="str">
        <f aca="false">IF('Match Results'!F22&gt;'Match Results'!E22,"Win",IF('Match Results'!E22='Match Results'!F22,"Draw","Loss"))</f>
        <v>Win</v>
      </c>
      <c r="F85" s="13" t="n">
        <f aca="false">IF(E85="Win",3,IF(E85="Draw",2,1))</f>
        <v>3</v>
      </c>
    </row>
    <row r="86" customFormat="false" ht="14.25" hidden="false" customHeight="false" outlineLevel="0" collapsed="false">
      <c r="A86" s="13" t="n">
        <f aca="false">'Match Results'!A23</f>
        <v>45939</v>
      </c>
      <c r="B86" s="13" t="str">
        <f aca="false">'Match Results'!B86</f>
        <v>Power Court</v>
      </c>
      <c r="C86" s="13" t="n">
        <v>22</v>
      </c>
      <c r="D86" s="13" t="str">
        <f aca="false">'Match Results'!C23</f>
        <v>Tin </v>
      </c>
      <c r="E86" s="13" t="str">
        <f aca="false">IF('Match Results'!E23&gt;'Match Results'!F23,"Win",IF('Match Results'!E23='Match Results'!F23,"Draw","Loss"))</f>
        <v>Win</v>
      </c>
      <c r="F86" s="13" t="n">
        <f aca="false">IF(E86="Win",3,IF(E86="Draw",2,1))</f>
        <v>3</v>
      </c>
    </row>
    <row r="87" customFormat="false" ht="14.25" hidden="false" customHeight="false" outlineLevel="0" collapsed="false">
      <c r="A87" s="13" t="n">
        <f aca="false">'Match Results'!A23</f>
        <v>45939</v>
      </c>
      <c r="B87" s="13" t="str">
        <f aca="false">'Match Results'!B87</f>
        <v>Power Court</v>
      </c>
      <c r="C87" s="13" t="n">
        <v>22</v>
      </c>
      <c r="D87" s="13" t="str">
        <f aca="false">'Match Results'!D23</f>
        <v>Renato</v>
      </c>
      <c r="E87" s="13" t="str">
        <f aca="false">IF('Match Results'!E23&gt;'Match Results'!F23,"Win",IF('Match Results'!E23='Match Results'!F23,"Draw","Loss"))</f>
        <v>Win</v>
      </c>
      <c r="F87" s="13" t="n">
        <f aca="false">IF(E87="Win",3,IF(E87="Draw",2,1))</f>
        <v>3</v>
      </c>
    </row>
    <row r="88" customFormat="false" ht="14.25" hidden="false" customHeight="false" outlineLevel="0" collapsed="false">
      <c r="A88" s="13" t="n">
        <f aca="false">'Match Results'!A23</f>
        <v>45939</v>
      </c>
      <c r="B88" s="13" t="str">
        <f aca="false">'Match Results'!B88</f>
        <v>Power Court</v>
      </c>
      <c r="C88" s="13" t="n">
        <v>22</v>
      </c>
      <c r="D88" s="13" t="str">
        <f aca="false">'Match Results'!G23</f>
        <v>Andreas</v>
      </c>
      <c r="E88" s="13" t="str">
        <f aca="false">IF('Match Results'!F23&gt;'Match Results'!E23,"Win",IF('Match Results'!E23='Match Results'!F23,"Draw","Loss"))</f>
        <v>Loss</v>
      </c>
      <c r="F88" s="13" t="n">
        <f aca="false">IF(E88="Win",3,IF(E88="Draw",2,1))</f>
        <v>1</v>
      </c>
    </row>
    <row r="89" customFormat="false" ht="14.25" hidden="false" customHeight="false" outlineLevel="0" collapsed="false">
      <c r="A89" s="13" t="n">
        <f aca="false">'Match Results'!A23</f>
        <v>45939</v>
      </c>
      <c r="B89" s="13" t="str">
        <f aca="false">'Match Results'!B89</f>
        <v>Power Court</v>
      </c>
      <c r="C89" s="13" t="n">
        <v>22</v>
      </c>
      <c r="D89" s="13" t="str">
        <f aca="false">'Match Results'!H23</f>
        <v>Julio</v>
      </c>
      <c r="E89" s="13" t="str">
        <f aca="false">IF('Match Results'!F23&gt;'Match Results'!E23,"Win",IF('Match Results'!E23='Match Results'!F23,"Draw","Loss"))</f>
        <v>Loss</v>
      </c>
      <c r="F89" s="13" t="n">
        <f aca="false">IF(E89="Win",3,IF(E89="Draw",2,1))</f>
        <v>1</v>
      </c>
    </row>
    <row r="90" customFormat="false" ht="14.25" hidden="false" customHeight="false" outlineLevel="0" collapsed="false">
      <c r="A90" s="13" t="n">
        <f aca="false">'Match Results'!A24</f>
        <v>45939</v>
      </c>
      <c r="B90" s="13" t="str">
        <f aca="false">'Match Results'!B90</f>
        <v>Power Court</v>
      </c>
      <c r="C90" s="13" t="n">
        <v>23</v>
      </c>
      <c r="D90" s="13" t="str">
        <f aca="false">'Match Results'!C24</f>
        <v>Dana</v>
      </c>
      <c r="E90" s="13" t="str">
        <f aca="false">IF('Match Results'!E24&gt;'Match Results'!F24,"Win",IF('Match Results'!E24='Match Results'!F24,"Draw","Loss"))</f>
        <v>Win</v>
      </c>
      <c r="F90" s="13" t="n">
        <f aca="false">IF(E90="Win",3,IF(E90="Draw",2,1))</f>
        <v>3</v>
      </c>
    </row>
    <row r="91" customFormat="false" ht="14.25" hidden="false" customHeight="false" outlineLevel="0" collapsed="false">
      <c r="A91" s="13" t="n">
        <f aca="false">'Match Results'!A24</f>
        <v>45939</v>
      </c>
      <c r="B91" s="13" t="str">
        <f aca="false">'Match Results'!B91</f>
        <v>Power Court</v>
      </c>
      <c r="C91" s="13" t="n">
        <v>23</v>
      </c>
      <c r="D91" s="13" t="str">
        <f aca="false">'Match Results'!D24</f>
        <v>Dauren</v>
      </c>
      <c r="E91" s="13" t="str">
        <f aca="false">IF('Match Results'!E24&gt;'Match Results'!F24,"Win",IF('Match Results'!E24='Match Results'!F24,"Draw","Loss"))</f>
        <v>Win</v>
      </c>
      <c r="F91" s="13" t="n">
        <f aca="false">IF(E91="Win",3,IF(E91="Draw",2,1))</f>
        <v>3</v>
      </c>
    </row>
    <row r="92" customFormat="false" ht="14.25" hidden="false" customHeight="false" outlineLevel="0" collapsed="false">
      <c r="A92" s="13" t="n">
        <f aca="false">'Match Results'!A24</f>
        <v>45939</v>
      </c>
      <c r="B92" s="13" t="str">
        <f aca="false">'Match Results'!B92</f>
        <v>Rising Court</v>
      </c>
      <c r="C92" s="13" t="n">
        <v>23</v>
      </c>
      <c r="D92" s="13" t="str">
        <f aca="false">'Match Results'!G24</f>
        <v>Bruno</v>
      </c>
      <c r="E92" s="13" t="str">
        <f aca="false">IF('Match Results'!F24&gt;'Match Results'!E24,"Win",IF('Match Results'!E24='Match Results'!F24,"Draw","Loss"))</f>
        <v>Loss</v>
      </c>
      <c r="F92" s="13" t="n">
        <f aca="false">IF(E92="Win",3,IF(E92="Draw",2,1))</f>
        <v>1</v>
      </c>
    </row>
    <row r="93" customFormat="false" ht="14.25" hidden="false" customHeight="false" outlineLevel="0" collapsed="false">
      <c r="A93" s="13" t="n">
        <f aca="false">'Match Results'!A24</f>
        <v>45939</v>
      </c>
      <c r="B93" s="13" t="str">
        <f aca="false">'Match Results'!B93</f>
        <v>Rising Court</v>
      </c>
      <c r="C93" s="13" t="n">
        <v>23</v>
      </c>
      <c r="D93" s="13" t="str">
        <f aca="false">'Match Results'!H24</f>
        <v>Natalya</v>
      </c>
      <c r="E93" s="13" t="str">
        <f aca="false">IF('Match Results'!F24&gt;'Match Results'!E24,"Win",IF('Match Results'!E24='Match Results'!F24,"Draw","Loss"))</f>
        <v>Loss</v>
      </c>
      <c r="F93" s="13" t="n">
        <f aca="false">IF(E93="Win",3,IF(E93="Draw",2,1))</f>
        <v>1</v>
      </c>
    </row>
    <row r="94" customFormat="false" ht="14.25" hidden="false" customHeight="false" outlineLevel="0" collapsed="false">
      <c r="A94" s="13" t="n">
        <f aca="false">'Match Results'!A25</f>
        <v>45939</v>
      </c>
      <c r="B94" s="13" t="str">
        <f aca="false">'Match Results'!B94</f>
        <v>Rising Court</v>
      </c>
      <c r="C94" s="13" t="n">
        <v>24</v>
      </c>
      <c r="D94" s="13" t="str">
        <f aca="false">'Match Results'!C25</f>
        <v>Joel</v>
      </c>
      <c r="E94" s="13" t="str">
        <f aca="false">IF('Match Results'!E25&gt;'Match Results'!F25,"Win",IF('Match Results'!E25='Match Results'!F25,"Draw","Loss"))</f>
        <v>Win</v>
      </c>
      <c r="F94" s="13" t="n">
        <f aca="false">IF(E94="Win",3,IF(E94="Draw",2,1))</f>
        <v>3</v>
      </c>
    </row>
    <row r="95" customFormat="false" ht="14.25" hidden="false" customHeight="false" outlineLevel="0" collapsed="false">
      <c r="A95" s="13" t="n">
        <f aca="false">'Match Results'!A25</f>
        <v>45939</v>
      </c>
      <c r="B95" s="13" t="str">
        <f aca="false">'Match Results'!B95</f>
        <v>Rising Court</v>
      </c>
      <c r="C95" s="13" t="n">
        <v>24</v>
      </c>
      <c r="D95" s="13" t="str">
        <f aca="false">'Match Results'!D25</f>
        <v>Ahmad DD </v>
      </c>
      <c r="E95" s="13" t="str">
        <f aca="false">IF('Match Results'!E25&gt;'Match Results'!F25,"Win",IF('Match Results'!E25='Match Results'!F25,"Draw","Loss"))</f>
        <v>Win</v>
      </c>
      <c r="F95" s="13" t="n">
        <f aca="false">IF(E95="Win",3,IF(E95="Draw",2,1))</f>
        <v>3</v>
      </c>
    </row>
    <row r="96" customFormat="false" ht="14.25" hidden="false" customHeight="false" outlineLevel="0" collapsed="false">
      <c r="A96" s="13" t="n">
        <f aca="false">'Match Results'!A25</f>
        <v>45939</v>
      </c>
      <c r="B96" s="13" t="str">
        <f aca="false">'Match Results'!B96</f>
        <v>Rising Court</v>
      </c>
      <c r="C96" s="13" t="n">
        <v>24</v>
      </c>
      <c r="D96" s="13" t="str">
        <f aca="false">'Match Results'!G25</f>
        <v>Renato</v>
      </c>
      <c r="E96" s="13" t="str">
        <f aca="false">IF('Match Results'!F25&gt;'Match Results'!E25,"Win",IF('Match Results'!E25='Match Results'!F25,"Draw","Loss"))</f>
        <v>Loss</v>
      </c>
      <c r="F96" s="13" t="n">
        <f aca="false">IF(E96="Win",3,IF(E96="Draw",2,1))</f>
        <v>1</v>
      </c>
    </row>
    <row r="97" customFormat="false" ht="15" hidden="false" customHeight="true" outlineLevel="0" collapsed="false">
      <c r="A97" s="13" t="n">
        <f aca="false">'Match Results'!A25</f>
        <v>45939</v>
      </c>
      <c r="B97" s="13" t="str">
        <f aca="false">'Match Results'!B97</f>
        <v>Rising Court</v>
      </c>
      <c r="C97" s="13" t="n">
        <v>24</v>
      </c>
      <c r="D97" s="13" t="str">
        <f aca="false">'Match Results'!H25</f>
        <v>Hazem</v>
      </c>
      <c r="E97" s="13" t="str">
        <f aca="false">IF('Match Results'!F25&gt;'Match Results'!E25,"Win",IF('Match Results'!E25='Match Results'!F25,"Draw","Loss"))</f>
        <v>Loss</v>
      </c>
      <c r="F97" s="13" t="n">
        <f aca="false">IF(E97="Win",3,IF(E97="Draw",2,1))</f>
        <v>1</v>
      </c>
    </row>
    <row r="98" customFormat="false" ht="14.25" hidden="false" customHeight="false" outlineLevel="0" collapsed="false">
      <c r="A98" s="13" t="n">
        <f aca="false">'Match Results'!A26</f>
        <v>45939</v>
      </c>
      <c r="B98" s="13" t="str">
        <f aca="false">'Match Results'!B98</f>
        <v>Rising Court</v>
      </c>
      <c r="C98" s="13" t="n">
        <v>25</v>
      </c>
      <c r="D98" s="13" t="str">
        <f aca="false">'Match Results'!C26</f>
        <v>Bruno</v>
      </c>
      <c r="E98" s="13" t="str">
        <f aca="false">IF('Match Results'!E26&gt;'Match Results'!F26,"Win",IF('Match Results'!E26='Match Results'!F26,"Draw","Loss"))</f>
        <v>Win</v>
      </c>
      <c r="F98" s="13" t="n">
        <f aca="false">IF(E98="Win",3,IF(E98="Draw",2,1))</f>
        <v>3</v>
      </c>
    </row>
    <row r="99" customFormat="false" ht="14.25" hidden="false" customHeight="false" outlineLevel="0" collapsed="false">
      <c r="A99" s="13" t="n">
        <f aca="false">'Match Results'!A26</f>
        <v>45939</v>
      </c>
      <c r="B99" s="13" t="str">
        <f aca="false">'Match Results'!B99</f>
        <v>Rising Court</v>
      </c>
      <c r="C99" s="13" t="n">
        <v>25</v>
      </c>
      <c r="D99" s="13" t="str">
        <f aca="false">'Match Results'!D26</f>
        <v>Andreas</v>
      </c>
      <c r="E99" s="13" t="str">
        <f aca="false">IF('Match Results'!E26&gt;'Match Results'!F26,"Win",IF('Match Results'!E26='Match Results'!F26,"Draw","Loss"))</f>
        <v>Win</v>
      </c>
      <c r="F99" s="13" t="n">
        <f aca="false">IF(E99="Win",3,IF(E99="Draw",2,1))</f>
        <v>3</v>
      </c>
    </row>
    <row r="100" customFormat="false" ht="14.25" hidden="false" customHeight="false" outlineLevel="0" collapsed="false">
      <c r="A100" s="13" t="n">
        <f aca="false">'Match Results'!A26</f>
        <v>45939</v>
      </c>
      <c r="B100" s="13" t="str">
        <f aca="false">'Match Results'!B100</f>
        <v>Rising Court</v>
      </c>
      <c r="C100" s="13" t="n">
        <v>25</v>
      </c>
      <c r="D100" s="13" t="str">
        <f aca="false">'Match Results'!G26</f>
        <v>Tin </v>
      </c>
      <c r="E100" s="13" t="str">
        <f aca="false">IF('Match Results'!F26&gt;'Match Results'!E26,"Win",IF('Match Results'!E26='Match Results'!F26,"Draw","Loss"))</f>
        <v>Loss</v>
      </c>
      <c r="F100" s="13" t="n">
        <f aca="false">IF(E100="Win",3,IF(E100="Draw",2,1))</f>
        <v>1</v>
      </c>
    </row>
    <row r="101" customFormat="false" ht="14.25" hidden="false" customHeight="false" outlineLevel="0" collapsed="false">
      <c r="A101" s="13" t="n">
        <f aca="false">'Match Results'!A26</f>
        <v>45939</v>
      </c>
      <c r="B101" s="13" t="str">
        <f aca="false">'Match Results'!B101</f>
        <v>Rising Court</v>
      </c>
      <c r="C101" s="13" t="n">
        <v>25</v>
      </c>
      <c r="D101" s="13" t="str">
        <f aca="false">'Match Results'!H26</f>
        <v>Dauren</v>
      </c>
      <c r="E101" s="13" t="str">
        <f aca="false">IF('Match Results'!F26&gt;'Match Results'!E26,"Win",IF('Match Results'!E26='Match Results'!F26,"Draw","Loss"))</f>
        <v>Loss</v>
      </c>
      <c r="F101" s="13" t="n">
        <f aca="false">IF(E101="Win",3,IF(E101="Draw",2,1))</f>
        <v>1</v>
      </c>
    </row>
    <row r="102" customFormat="false" ht="14.25" hidden="false" customHeight="false" outlineLevel="0" collapsed="false">
      <c r="A102" s="13" t="n">
        <f aca="false">'Match Results'!A27</f>
        <v>45939</v>
      </c>
      <c r="B102" s="13" t="str">
        <f aca="false">'Match Results'!B102</f>
        <v>Power Court</v>
      </c>
      <c r="C102" s="13" t="n">
        <v>26</v>
      </c>
      <c r="D102" s="13" t="str">
        <f aca="false">'Match Results'!C27</f>
        <v>Joel</v>
      </c>
      <c r="E102" s="13" t="str">
        <f aca="false">IF('Match Results'!E27&gt;'Match Results'!F27,"Win",IF('Match Results'!E27='Match Results'!F27,"Draw","Loss"))</f>
        <v>Loss</v>
      </c>
      <c r="F102" s="13" t="n">
        <f aca="false">IF(E102="Win",3,IF(E102="Draw",2,1))</f>
        <v>1</v>
      </c>
    </row>
    <row r="103" customFormat="false" ht="14.25" hidden="false" customHeight="false" outlineLevel="0" collapsed="false">
      <c r="A103" s="13" t="n">
        <f aca="false">'Match Results'!A27</f>
        <v>45939</v>
      </c>
      <c r="B103" s="13" t="str">
        <f aca="false">'Match Results'!B103</f>
        <v>Power Court</v>
      </c>
      <c r="C103" s="13" t="n">
        <v>26</v>
      </c>
      <c r="D103" s="13" t="str">
        <f aca="false">'Match Results'!D27</f>
        <v>Dana</v>
      </c>
      <c r="E103" s="13" t="str">
        <f aca="false">IF('Match Results'!E27&gt;'Match Results'!F27,"Win",IF('Match Results'!E27='Match Results'!F27,"Draw","Loss"))</f>
        <v>Loss</v>
      </c>
      <c r="F103" s="13" t="n">
        <f aca="false">IF(E103="Win",3,IF(E103="Draw",2,1))</f>
        <v>1</v>
      </c>
    </row>
    <row r="104" customFormat="false" ht="14.25" hidden="false" customHeight="false" outlineLevel="0" collapsed="false">
      <c r="A104" s="13" t="n">
        <f aca="false">'Match Results'!A27</f>
        <v>45939</v>
      </c>
      <c r="B104" s="13" t="str">
        <f aca="false">'Match Results'!B104</f>
        <v>Power Court</v>
      </c>
      <c r="C104" s="13" t="n">
        <v>26</v>
      </c>
      <c r="D104" s="13" t="str">
        <f aca="false">'Match Results'!G27</f>
        <v>Ahmad DD </v>
      </c>
      <c r="E104" s="13" t="str">
        <f aca="false">IF('Match Results'!F27&gt;'Match Results'!E27,"Win",IF('Match Results'!E27='Match Results'!F27,"Draw","Loss"))</f>
        <v>Win</v>
      </c>
      <c r="F104" s="13" t="n">
        <f aca="false">IF(E104="Win",3,IF(E104="Draw",2,1))</f>
        <v>3</v>
      </c>
    </row>
    <row r="105" customFormat="false" ht="14.25" hidden="false" customHeight="false" outlineLevel="0" collapsed="false">
      <c r="A105" s="13" t="n">
        <f aca="false">'Match Results'!A27</f>
        <v>45939</v>
      </c>
      <c r="B105" s="13" t="str">
        <f aca="false">'Match Results'!B105</f>
        <v>Power Court</v>
      </c>
      <c r="C105" s="13" t="n">
        <v>26</v>
      </c>
      <c r="D105" s="13" t="str">
        <f aca="false">'Match Results'!H27</f>
        <v>Natalya</v>
      </c>
      <c r="E105" s="13" t="str">
        <f aca="false">IF('Match Results'!F27&gt;'Match Results'!E27,"Win",IF('Match Results'!E27='Match Results'!F27,"Draw","Loss"))</f>
        <v>Win</v>
      </c>
      <c r="F105" s="13" t="n">
        <f aca="false">IF(E105="Win",3,IF(E105="Draw",2,1))</f>
        <v>3</v>
      </c>
    </row>
    <row r="106" customFormat="false" ht="14.25" hidden="false" customHeight="false" outlineLevel="0" collapsed="false">
      <c r="A106" s="13" t="n">
        <f aca="false">'Match Results'!A28</f>
        <v>45939</v>
      </c>
      <c r="B106" s="13" t="str">
        <f aca="false">'Match Results'!B106</f>
        <v>Power Court</v>
      </c>
      <c r="C106" s="13" t="n">
        <v>27</v>
      </c>
      <c r="D106" s="13" t="str">
        <f aca="false">'Match Results'!C28</f>
        <v>Hazem</v>
      </c>
      <c r="E106" s="13" t="str">
        <f aca="false">IF('Match Results'!E28&gt;'Match Results'!F28,"Win",IF('Match Results'!E28='Match Results'!F28,"Draw","Loss"))</f>
        <v>Win</v>
      </c>
      <c r="F106" s="13" t="n">
        <f aca="false">IF(E106="Win",3,IF(E106="Draw",2,1))</f>
        <v>3</v>
      </c>
    </row>
    <row r="107" customFormat="false" ht="14.25" hidden="false" customHeight="false" outlineLevel="0" collapsed="false">
      <c r="A107" s="13" t="n">
        <f aca="false">'Match Results'!A28</f>
        <v>45939</v>
      </c>
      <c r="B107" s="13" t="str">
        <f aca="false">'Match Results'!B107</f>
        <v>Power Court</v>
      </c>
      <c r="C107" s="13" t="n">
        <v>27</v>
      </c>
      <c r="D107" s="13" t="str">
        <f aca="false">'Match Results'!D28</f>
        <v>Tin </v>
      </c>
      <c r="E107" s="13" t="str">
        <f aca="false">IF('Match Results'!E28&gt;'Match Results'!F28,"Win",IF('Match Results'!E28='Match Results'!F28,"Draw","Loss"))</f>
        <v>Win</v>
      </c>
      <c r="F107" s="13" t="n">
        <f aca="false">IF(E107="Win",3,IF(E107="Draw",2,1))</f>
        <v>3</v>
      </c>
    </row>
    <row r="108" customFormat="false" ht="14.25" hidden="false" customHeight="false" outlineLevel="0" collapsed="false">
      <c r="A108" s="13" t="n">
        <f aca="false">'Match Results'!A28</f>
        <v>45939</v>
      </c>
      <c r="B108" s="13" t="str">
        <f aca="false">'Match Results'!B108</f>
        <v>Power Court</v>
      </c>
      <c r="C108" s="13" t="n">
        <v>27</v>
      </c>
      <c r="D108" s="13" t="str">
        <f aca="false">'Match Results'!G28</f>
        <v>Andreas</v>
      </c>
      <c r="E108" s="13" t="str">
        <f aca="false">IF('Match Results'!F28&gt;'Match Results'!E28,"Win",IF('Match Results'!E28='Match Results'!F28,"Draw","Loss"))</f>
        <v>Loss</v>
      </c>
      <c r="F108" s="13" t="n">
        <f aca="false">IF(E108="Win",3,IF(E108="Draw",2,1))</f>
        <v>1</v>
      </c>
    </row>
    <row r="109" customFormat="false" ht="14.25" hidden="false" customHeight="false" outlineLevel="0" collapsed="false">
      <c r="A109" s="13" t="n">
        <f aca="false">'Match Results'!A28</f>
        <v>45939</v>
      </c>
      <c r="B109" s="13" t="str">
        <f aca="false">'Match Results'!B109</f>
        <v>Power Court</v>
      </c>
      <c r="C109" s="13" t="n">
        <v>27</v>
      </c>
      <c r="D109" s="13" t="str">
        <f aca="false">'Match Results'!H28</f>
        <v>Julio</v>
      </c>
      <c r="E109" s="13" t="str">
        <f aca="false">IF('Match Results'!F28&gt;'Match Results'!E28,"Win",IF('Match Results'!E28='Match Results'!F28,"Draw","Loss"))</f>
        <v>Loss</v>
      </c>
      <c r="F109" s="13" t="n">
        <f aca="false">IF(E109="Win",3,IF(E109="Draw",2,1))</f>
        <v>1</v>
      </c>
    </row>
    <row r="110" customFormat="false" ht="14.25" hidden="false" customHeight="false" outlineLevel="0" collapsed="false">
      <c r="A110" s="13" t="n">
        <f aca="false">'Match Results'!A29</f>
        <v>45939</v>
      </c>
      <c r="B110" s="13" t="str">
        <f aca="false">'Match Results'!B110</f>
        <v>Power Court</v>
      </c>
      <c r="C110" s="13" t="n">
        <v>28</v>
      </c>
      <c r="D110" s="13" t="str">
        <f aca="false">'Match Results'!C29</f>
        <v>Renato</v>
      </c>
      <c r="E110" s="13" t="str">
        <f aca="false">IF('Match Results'!E29&gt;'Match Results'!F29,"Win",IF('Match Results'!E29='Match Results'!F29,"Draw","Loss"))</f>
        <v>Win</v>
      </c>
      <c r="F110" s="13" t="n">
        <f aca="false">IF(E110="Win",3,IF(E110="Draw",2,1))</f>
        <v>3</v>
      </c>
    </row>
    <row r="111" customFormat="false" ht="14.25" hidden="false" customHeight="false" outlineLevel="0" collapsed="false">
      <c r="A111" s="13" t="n">
        <f aca="false">'Match Results'!A29</f>
        <v>45939</v>
      </c>
      <c r="B111" s="13" t="str">
        <f aca="false">'Match Results'!B111</f>
        <v>Power Court</v>
      </c>
      <c r="C111" s="13" t="n">
        <v>28</v>
      </c>
      <c r="D111" s="13" t="str">
        <f aca="false">'Match Results'!D29</f>
        <v>Joel</v>
      </c>
      <c r="E111" s="13" t="str">
        <f aca="false">IF('Match Results'!E29&gt;'Match Results'!F29,"Win",IF('Match Results'!E29='Match Results'!F29,"Draw","Loss"))</f>
        <v>Win</v>
      </c>
      <c r="F111" s="13" t="n">
        <f aca="false">IF(E111="Win",3,IF(E111="Draw",2,1))</f>
        <v>3</v>
      </c>
    </row>
    <row r="112" customFormat="false" ht="14.25" hidden="false" customHeight="false" outlineLevel="0" collapsed="false">
      <c r="A112" s="13" t="n">
        <f aca="false">'Match Results'!A29</f>
        <v>45939</v>
      </c>
      <c r="B112" s="13" t="str">
        <f aca="false">'Match Results'!B112</f>
        <v>Rising Court</v>
      </c>
      <c r="C112" s="13" t="n">
        <v>28</v>
      </c>
      <c r="D112" s="13" t="str">
        <f aca="false">'Match Results'!G29</f>
        <v>Tin </v>
      </c>
      <c r="E112" s="13" t="str">
        <f aca="false">IF('Match Results'!F29&gt;'Match Results'!E29,"Win",IF('Match Results'!E29='Match Results'!F29,"Draw","Loss"))</f>
        <v>Loss</v>
      </c>
      <c r="F112" s="13" t="n">
        <f aca="false">IF(E112="Win",3,IF(E112="Draw",2,1))</f>
        <v>1</v>
      </c>
    </row>
    <row r="113" customFormat="false" ht="14.25" hidden="false" customHeight="false" outlineLevel="0" collapsed="false">
      <c r="A113" s="13" t="n">
        <f aca="false">'Match Results'!A29</f>
        <v>45939</v>
      </c>
      <c r="B113" s="13" t="str">
        <f aca="false">'Match Results'!B113</f>
        <v>Rising Court</v>
      </c>
      <c r="C113" s="13" t="n">
        <v>28</v>
      </c>
      <c r="D113" s="13" t="str">
        <f aca="false">'Match Results'!H29</f>
        <v>Hazem</v>
      </c>
      <c r="E113" s="13" t="str">
        <f aca="false">IF('Match Results'!F29&gt;'Match Results'!E29,"Win",IF('Match Results'!E29='Match Results'!F29,"Draw","Loss"))</f>
        <v>Loss</v>
      </c>
      <c r="F113" s="13" t="n">
        <f aca="false">IF(E113="Win",3,IF(E113="Draw",2,1))</f>
        <v>1</v>
      </c>
    </row>
    <row r="114" customFormat="false" ht="14.25" hidden="false" customHeight="false" outlineLevel="0" collapsed="false">
      <c r="A114" s="13" t="n">
        <f aca="false">'Match Results'!A30</f>
        <v>45939</v>
      </c>
      <c r="B114" s="13" t="str">
        <f aca="false">'Match Results'!B114</f>
        <v>Rising Court</v>
      </c>
      <c r="C114" s="13" t="n">
        <v>29</v>
      </c>
      <c r="D114" s="13" t="str">
        <f aca="false">'Match Results'!C30</f>
        <v>Ahmad DD </v>
      </c>
      <c r="E114" s="13" t="str">
        <f aca="false">IF('Match Results'!E30&gt;'Match Results'!F30,"Win",IF('Match Results'!E30='Match Results'!F30,"Draw","Loss"))</f>
        <v>Win</v>
      </c>
      <c r="F114" s="13" t="n">
        <f aca="false">IF(E114="Win",3,IF(E114="Draw",2,1))</f>
        <v>3</v>
      </c>
    </row>
    <row r="115" customFormat="false" ht="14.25" hidden="false" customHeight="false" outlineLevel="0" collapsed="false">
      <c r="A115" s="13" t="n">
        <f aca="false">'Match Results'!A30</f>
        <v>45939</v>
      </c>
      <c r="B115" s="13" t="str">
        <f aca="false">'Match Results'!B115</f>
        <v>Rising Court</v>
      </c>
      <c r="C115" s="13" t="n">
        <v>29</v>
      </c>
      <c r="D115" s="13" t="str">
        <f aca="false">'Match Results'!D30</f>
        <v>Bruno</v>
      </c>
      <c r="E115" s="13" t="str">
        <f aca="false">IF('Match Results'!E30&gt;'Match Results'!F30,"Win",IF('Match Results'!E30='Match Results'!F30,"Draw","Loss"))</f>
        <v>Win</v>
      </c>
      <c r="F115" s="13" t="n">
        <f aca="false">IF(E115="Win",3,IF(E115="Draw",2,1))</f>
        <v>3</v>
      </c>
    </row>
    <row r="116" customFormat="false" ht="14.25" hidden="false" customHeight="false" outlineLevel="0" collapsed="false">
      <c r="A116" s="13" t="n">
        <f aca="false">'Match Results'!A30</f>
        <v>45939</v>
      </c>
      <c r="B116" s="13" t="str">
        <f aca="false">'Match Results'!B116</f>
        <v>Rising Court</v>
      </c>
      <c r="C116" s="13" t="n">
        <v>29</v>
      </c>
      <c r="D116" s="13" t="str">
        <f aca="false">'Match Results'!G30</f>
        <v>Andreas</v>
      </c>
      <c r="E116" s="13" t="str">
        <f aca="false">IF('Match Results'!F30&gt;'Match Results'!E30,"Win",IF('Match Results'!E30='Match Results'!F30,"Draw","Loss"))</f>
        <v>Loss</v>
      </c>
      <c r="F116" s="13" t="n">
        <f aca="false">IF(E116="Win",3,IF(E116="Draw",2,1))</f>
        <v>1</v>
      </c>
    </row>
    <row r="117" customFormat="false" ht="14.25" hidden="false" customHeight="false" outlineLevel="0" collapsed="false">
      <c r="A117" s="13" t="n">
        <f aca="false">'Match Results'!A30</f>
        <v>45939</v>
      </c>
      <c r="B117" s="13" t="str">
        <f aca="false">'Match Results'!B117</f>
        <v>Rising Court</v>
      </c>
      <c r="C117" s="13" t="n">
        <v>29</v>
      </c>
      <c r="D117" s="13" t="str">
        <f aca="false">'Match Results'!H30</f>
        <v>Dauren</v>
      </c>
      <c r="E117" s="13" t="str">
        <f aca="false">IF('Match Results'!F30&gt;'Match Results'!E30,"Win",IF('Match Results'!E30='Match Results'!F30,"Draw","Loss"))</f>
        <v>Loss</v>
      </c>
      <c r="F117" s="13" t="n">
        <f aca="false">IF(E117="Win",3,IF(E117="Draw",2,1))</f>
        <v>1</v>
      </c>
    </row>
    <row r="118" customFormat="false" ht="14.25" hidden="false" customHeight="false" outlineLevel="0" collapsed="false">
      <c r="A118" s="13" t="n">
        <f aca="false">'Match Results'!A31</f>
        <v>45939</v>
      </c>
      <c r="B118" s="13" t="str">
        <f aca="false">'Match Results'!B118</f>
        <v>Rising Court</v>
      </c>
      <c r="C118" s="13" t="n">
        <v>30</v>
      </c>
      <c r="D118" s="13" t="str">
        <f aca="false">'Match Results'!C31</f>
        <v>Bruno</v>
      </c>
      <c r="E118" s="13" t="str">
        <f aca="false">IF('Match Results'!E31&gt;'Match Results'!F31,"Win",IF('Match Results'!E31='Match Results'!F31,"Draw","Loss"))</f>
        <v>Win</v>
      </c>
      <c r="F118" s="13" t="n">
        <f aca="false">IF(E118="Win",3,IF(E118="Draw",2,1))</f>
        <v>3</v>
      </c>
    </row>
    <row r="119" customFormat="false" ht="14.25" hidden="false" customHeight="false" outlineLevel="0" collapsed="false">
      <c r="A119" s="13" t="n">
        <f aca="false">'Match Results'!A31</f>
        <v>45939</v>
      </c>
      <c r="B119" s="13" t="str">
        <f aca="false">'Match Results'!B119</f>
        <v>Rising Court</v>
      </c>
      <c r="C119" s="13" t="n">
        <v>30</v>
      </c>
      <c r="D119" s="13" t="str">
        <f aca="false">'Match Results'!D31</f>
        <v>Dauren</v>
      </c>
      <c r="E119" s="13" t="str">
        <f aca="false">IF('Match Results'!E31&gt;'Match Results'!F31,"Win",IF('Match Results'!E31='Match Results'!F31,"Draw","Loss"))</f>
        <v>Win</v>
      </c>
      <c r="F119" s="13" t="n">
        <f aca="false">IF(E119="Win",3,IF(E119="Draw",2,1))</f>
        <v>3</v>
      </c>
    </row>
    <row r="120" customFormat="false" ht="14.25" hidden="false" customHeight="false" outlineLevel="0" collapsed="false">
      <c r="A120" s="13" t="n">
        <f aca="false">'Match Results'!A31</f>
        <v>45939</v>
      </c>
      <c r="B120" s="13" t="str">
        <f aca="false">'Match Results'!B120</f>
        <v>Rising Court</v>
      </c>
      <c r="C120" s="13" t="n">
        <v>30</v>
      </c>
      <c r="D120" s="13" t="str">
        <f aca="false">'Match Results'!G31</f>
        <v>Own </v>
      </c>
      <c r="E120" s="13" t="str">
        <f aca="false">IF('Match Results'!F31&gt;'Match Results'!E31,"Win",IF('Match Results'!E31='Match Results'!F31,"Draw","Loss"))</f>
        <v>Loss</v>
      </c>
      <c r="F120" s="13" t="n">
        <f aca="false">IF(E120="Win",3,IF(E120="Draw",2,1))</f>
        <v>1</v>
      </c>
    </row>
    <row r="121" customFormat="false" ht="14.25" hidden="false" customHeight="false" outlineLevel="0" collapsed="false">
      <c r="A121" s="13" t="n">
        <f aca="false">'Match Results'!A31</f>
        <v>45939</v>
      </c>
      <c r="B121" s="13" t="str">
        <f aca="false">'Match Results'!B121</f>
        <v>Rising Court</v>
      </c>
      <c r="C121" s="13" t="n">
        <v>30</v>
      </c>
      <c r="D121" s="13" t="str">
        <f aca="false">'Match Results'!H31</f>
        <v>Baobaid</v>
      </c>
      <c r="E121" s="13" t="str">
        <f aca="false">IF('Match Results'!F31&gt;'Match Results'!E31,"Win",IF('Match Results'!E31='Match Results'!F31,"Draw","Loss"))</f>
        <v>Loss</v>
      </c>
      <c r="F121" s="13" t="n">
        <f aca="false">IF(E121="Win",3,IF(E121="Draw",2,1))</f>
        <v>1</v>
      </c>
    </row>
    <row r="122" customFormat="false" ht="14.25" hidden="false" customHeight="false" outlineLevel="0" collapsed="false">
      <c r="A122" s="13" t="n">
        <f aca="false">'Match Results'!A32</f>
        <v>45939</v>
      </c>
      <c r="B122" s="13" t="str">
        <f aca="false">'Match Results'!B122</f>
        <v>Power Court</v>
      </c>
      <c r="C122" s="13" t="n">
        <v>31</v>
      </c>
      <c r="D122" s="13" t="str">
        <f aca="false">'Match Results'!C32</f>
        <v>Dana</v>
      </c>
      <c r="E122" s="13" t="str">
        <f aca="false">IF('Match Results'!E32&gt;'Match Results'!F32,"Win",IF('Match Results'!E32='Match Results'!F32,"Draw","Loss"))</f>
        <v>Win</v>
      </c>
      <c r="F122" s="13" t="n">
        <f aca="false">IF(E122="Win",3,IF(E122="Draw",2,1))</f>
        <v>3</v>
      </c>
    </row>
    <row r="123" customFormat="false" ht="14.25" hidden="false" customHeight="false" outlineLevel="0" collapsed="false">
      <c r="A123" s="13" t="n">
        <f aca="false">'Match Results'!A32</f>
        <v>45939</v>
      </c>
      <c r="B123" s="13" t="str">
        <f aca="false">'Match Results'!B123</f>
        <v>Power Court</v>
      </c>
      <c r="C123" s="13" t="n">
        <v>31</v>
      </c>
      <c r="D123" s="13" t="str">
        <f aca="false">'Match Results'!D32</f>
        <v>Joel</v>
      </c>
      <c r="E123" s="13" t="str">
        <f aca="false">IF('Match Results'!E32&gt;'Match Results'!F32,"Win",IF('Match Results'!E32='Match Results'!F32,"Draw","Loss"))</f>
        <v>Win</v>
      </c>
      <c r="F123" s="13" t="n">
        <f aca="false">IF(E123="Win",3,IF(E123="Draw",2,1))</f>
        <v>3</v>
      </c>
    </row>
    <row r="124" customFormat="false" ht="14.25" hidden="false" customHeight="false" outlineLevel="0" collapsed="false">
      <c r="A124" s="13" t="n">
        <f aca="false">'Match Results'!A32</f>
        <v>45939</v>
      </c>
      <c r="B124" s="13" t="str">
        <f aca="false">'Match Results'!B124</f>
        <v>Power Court</v>
      </c>
      <c r="C124" s="13" t="n">
        <v>31</v>
      </c>
      <c r="D124" s="13" t="str">
        <f aca="false">'Match Results'!G32</f>
        <v>Own </v>
      </c>
      <c r="E124" s="13" t="str">
        <f aca="false">IF('Match Results'!F32&gt;'Match Results'!E32,"Win",IF('Match Results'!E32='Match Results'!F32,"Draw","Loss"))</f>
        <v>Loss</v>
      </c>
      <c r="F124" s="13" t="n">
        <f aca="false">IF(E124="Win",3,IF(E124="Draw",2,1))</f>
        <v>1</v>
      </c>
    </row>
    <row r="125" customFormat="false" ht="14.25" hidden="false" customHeight="false" outlineLevel="0" collapsed="false">
      <c r="A125" s="13" t="n">
        <f aca="false">'Match Results'!A32</f>
        <v>45939</v>
      </c>
      <c r="B125" s="13" t="str">
        <f aca="false">'Match Results'!B125</f>
        <v>Power Court</v>
      </c>
      <c r="C125" s="13" t="n">
        <v>31</v>
      </c>
      <c r="D125" s="13" t="str">
        <f aca="false">'Match Results'!H32</f>
        <v>Natalya</v>
      </c>
      <c r="E125" s="13" t="str">
        <f aca="false">IF('Match Results'!F32&gt;'Match Results'!E32,"Win",IF('Match Results'!E32='Match Results'!F32,"Draw","Loss"))</f>
        <v>Loss</v>
      </c>
      <c r="F125" s="13" t="n">
        <f aca="false">IF(E125="Win",3,IF(E125="Draw",2,1))</f>
        <v>1</v>
      </c>
    </row>
    <row r="126" customFormat="false" ht="14.25" hidden="false" customHeight="false" outlineLevel="0" collapsed="false">
      <c r="A126" s="13" t="n">
        <f aca="false">'Match Results'!A33</f>
        <v>45939</v>
      </c>
      <c r="B126" s="13" t="str">
        <f aca="false">'Match Results'!B126</f>
        <v>Power Court</v>
      </c>
      <c r="C126" s="13" t="n">
        <v>32</v>
      </c>
      <c r="D126" s="13" t="str">
        <f aca="false">'Match Results'!C33</f>
        <v>Andreas</v>
      </c>
      <c r="E126" s="13" t="str">
        <f aca="false">IF('Match Results'!E33&gt;'Match Results'!F33,"Win",IF('Match Results'!E33='Match Results'!F33,"Draw","Loss"))</f>
        <v>Win</v>
      </c>
      <c r="F126" s="13" t="n">
        <f aca="false">IF(E126="Win",3,IF(E126="Draw",2,1))</f>
        <v>3</v>
      </c>
    </row>
    <row r="127" customFormat="false" ht="14.25" hidden="false" customHeight="false" outlineLevel="0" collapsed="false">
      <c r="A127" s="13" t="n">
        <f aca="false">'Match Results'!A33</f>
        <v>45939</v>
      </c>
      <c r="B127" s="13" t="str">
        <f aca="false">'Match Results'!B127</f>
        <v>Power Court</v>
      </c>
      <c r="C127" s="13" t="n">
        <v>32</v>
      </c>
      <c r="D127" s="13" t="str">
        <f aca="false">'Match Results'!D33</f>
        <v>Tin </v>
      </c>
      <c r="E127" s="13" t="str">
        <f aca="false">IF('Match Results'!E33&gt;'Match Results'!F33,"Win",IF('Match Results'!E33='Match Results'!F33,"Draw","Loss"))</f>
        <v>Win</v>
      </c>
      <c r="F127" s="13" t="n">
        <f aca="false">IF(E127="Win",3,IF(E127="Draw",2,1))</f>
        <v>3</v>
      </c>
    </row>
    <row r="128" customFormat="false" ht="14.25" hidden="false" customHeight="false" outlineLevel="0" collapsed="false">
      <c r="A128" s="13" t="n">
        <f aca="false">'Match Results'!A33</f>
        <v>45939</v>
      </c>
      <c r="B128" s="13" t="str">
        <f aca="false">'Match Results'!B128</f>
        <v>Rising Court</v>
      </c>
      <c r="C128" s="13" t="n">
        <v>32</v>
      </c>
      <c r="D128" s="13" t="str">
        <f aca="false">'Match Results'!G33</f>
        <v>Renato</v>
      </c>
      <c r="E128" s="13" t="str">
        <f aca="false">IF('Match Results'!F33&gt;'Match Results'!E33,"Win",IF('Match Results'!E33='Match Results'!F33,"Draw","Loss"))</f>
        <v>Loss</v>
      </c>
      <c r="F128" s="13" t="n">
        <f aca="false">IF(E128="Win",3,IF(E128="Draw",2,1))</f>
        <v>1</v>
      </c>
    </row>
    <row r="129" customFormat="false" ht="14.25" hidden="false" customHeight="false" outlineLevel="0" collapsed="false">
      <c r="A129" s="13" t="n">
        <f aca="false">'Match Results'!A33</f>
        <v>45939</v>
      </c>
      <c r="B129" s="13" t="str">
        <f aca="false">'Match Results'!B129</f>
        <v>Rising Court</v>
      </c>
      <c r="C129" s="13" t="n">
        <v>32</v>
      </c>
      <c r="D129" s="13" t="str">
        <f aca="false">'Match Results'!H33</f>
        <v>Joel</v>
      </c>
      <c r="E129" s="13" t="str">
        <f aca="false">IF('Match Results'!F33&gt;'Match Results'!E33,"Win",IF('Match Results'!E33='Match Results'!F33,"Draw","Loss"))</f>
        <v>Loss</v>
      </c>
      <c r="F129" s="13" t="n">
        <f aca="false">IF(E129="Win",3,IF(E129="Draw",2,1))</f>
        <v>1</v>
      </c>
    </row>
    <row r="130" customFormat="false" ht="14.25" hidden="false" customHeight="false" outlineLevel="0" collapsed="false">
      <c r="A130" s="13" t="n">
        <f aca="false">'Match Results'!A34</f>
        <v>45939</v>
      </c>
      <c r="B130" s="13" t="str">
        <f aca="false">'Match Results'!B130</f>
        <v>Rising Court</v>
      </c>
      <c r="C130" s="13" t="n">
        <v>33</v>
      </c>
      <c r="D130" s="13" t="str">
        <f aca="false">'Match Results'!C34</f>
        <v>Bruno</v>
      </c>
      <c r="E130" s="13" t="str">
        <f aca="false">IF('Match Results'!E34&gt;'Match Results'!F34,"Win",IF('Match Results'!E34='Match Results'!F34,"Draw","Loss"))</f>
        <v>Loss</v>
      </c>
      <c r="F130" s="13" t="n">
        <f aca="false">IF(E130="Win",3,IF(E130="Draw",2,1))</f>
        <v>1</v>
      </c>
    </row>
    <row r="131" customFormat="false" ht="14.25" hidden="false" customHeight="false" outlineLevel="0" collapsed="false">
      <c r="A131" s="13" t="n">
        <f aca="false">'Match Results'!A34</f>
        <v>45939</v>
      </c>
      <c r="B131" s="13" t="str">
        <f aca="false">'Match Results'!B131</f>
        <v>Rising Court</v>
      </c>
      <c r="C131" s="13" t="n">
        <v>33</v>
      </c>
      <c r="D131" s="13" t="str">
        <f aca="false">'Match Results'!D34</f>
        <v>Own </v>
      </c>
      <c r="E131" s="13" t="str">
        <f aca="false">IF('Match Results'!E34&gt;'Match Results'!F34,"Win",IF('Match Results'!E34='Match Results'!F34,"Draw","Loss"))</f>
        <v>Loss</v>
      </c>
      <c r="F131" s="13" t="n">
        <f aca="false">IF(E131="Win",3,IF(E131="Draw",2,1))</f>
        <v>1</v>
      </c>
    </row>
    <row r="132" customFormat="false" ht="14.25" hidden="false" customHeight="false" outlineLevel="0" collapsed="false">
      <c r="A132" s="13" t="n">
        <f aca="false">'Match Results'!A34</f>
        <v>45939</v>
      </c>
      <c r="B132" s="13" t="str">
        <f aca="false">'Match Results'!B132</f>
        <v>Rising Court</v>
      </c>
      <c r="C132" s="13" t="n">
        <v>33</v>
      </c>
      <c r="D132" s="13" t="str">
        <f aca="false">'Match Results'!G34</f>
        <v>Ahmad DD </v>
      </c>
      <c r="E132" s="13" t="str">
        <f aca="false">IF('Match Results'!F34&gt;'Match Results'!E34,"Win",IF('Match Results'!E34='Match Results'!F34,"Draw","Loss"))</f>
        <v>Win</v>
      </c>
      <c r="F132" s="13" t="n">
        <f aca="false">IF(E132="Win",3,IF(E132="Draw",2,1))</f>
        <v>3</v>
      </c>
    </row>
    <row r="133" customFormat="false" ht="14.25" hidden="false" customHeight="false" outlineLevel="0" collapsed="false">
      <c r="A133" s="13" t="n">
        <f aca="false">'Match Results'!A34</f>
        <v>45939</v>
      </c>
      <c r="B133" s="13" t="str">
        <f aca="false">'Match Results'!B133</f>
        <v>Rising Court</v>
      </c>
      <c r="C133" s="13" t="n">
        <v>33</v>
      </c>
      <c r="D133" s="13" t="str">
        <f aca="false">'Match Results'!H34</f>
        <v>Baobaid</v>
      </c>
      <c r="E133" s="13" t="str">
        <f aca="false">IF('Match Results'!F34&gt;'Match Results'!E34,"Win",IF('Match Results'!E34='Match Results'!F34,"Draw","Loss"))</f>
        <v>Win</v>
      </c>
      <c r="F133" s="13" t="n">
        <f aca="false">IF(E133="Win",3,IF(E133="Draw",2,1))</f>
        <v>3</v>
      </c>
    </row>
    <row r="134" customFormat="false" ht="14.25" hidden="false" customHeight="false" outlineLevel="0" collapsed="false">
      <c r="A134" s="13" t="n">
        <f aca="false">'Match Results'!A35</f>
        <v>45939</v>
      </c>
      <c r="B134" s="13" t="n">
        <f aca="false">'Match Results'!B134</f>
        <v>0</v>
      </c>
      <c r="C134" s="13" t="n">
        <v>34</v>
      </c>
      <c r="D134" s="13" t="str">
        <f aca="false">'Match Results'!C35</f>
        <v>Ahmad DD </v>
      </c>
      <c r="E134" s="13" t="str">
        <f aca="false">IF('Match Results'!E35&gt;'Match Results'!F35,"Win",IF('Match Results'!E35='Match Results'!F35,"Draw","Loss"))</f>
        <v>Loss</v>
      </c>
      <c r="F134" s="13" t="n">
        <f aca="false">IF(E134="Win",3,IF(E134="Draw",2,1))</f>
        <v>1</v>
      </c>
    </row>
    <row r="135" customFormat="false" ht="14.25" hidden="false" customHeight="false" outlineLevel="0" collapsed="false">
      <c r="A135" s="13" t="n">
        <f aca="false">'Match Results'!A35</f>
        <v>45939</v>
      </c>
      <c r="B135" s="13" t="n">
        <f aca="false">'Match Results'!B135</f>
        <v>0</v>
      </c>
      <c r="C135" s="13" t="n">
        <v>34</v>
      </c>
      <c r="D135" s="13" t="str">
        <f aca="false">'Match Results'!D35</f>
        <v>Tin </v>
      </c>
      <c r="E135" s="13" t="str">
        <f aca="false">IF('Match Results'!E35&gt;'Match Results'!F35,"Win",IF('Match Results'!E35='Match Results'!F35,"Draw","Loss"))</f>
        <v>Loss</v>
      </c>
      <c r="F135" s="13" t="n">
        <f aca="false">IF(E135="Win",3,IF(E135="Draw",2,1))</f>
        <v>1</v>
      </c>
    </row>
    <row r="136" customFormat="false" ht="14.25" hidden="false" customHeight="false" outlineLevel="0" collapsed="false">
      <c r="A136" s="13" t="n">
        <f aca="false">'Match Results'!A35</f>
        <v>45939</v>
      </c>
      <c r="B136" s="13" t="n">
        <f aca="false">'Match Results'!B136</f>
        <v>0</v>
      </c>
      <c r="C136" s="13" t="n">
        <v>34</v>
      </c>
      <c r="D136" s="13" t="str">
        <f aca="false">'Match Results'!G35</f>
        <v>Joel</v>
      </c>
      <c r="E136" s="13" t="str">
        <f aca="false">IF('Match Results'!F35&gt;'Match Results'!E35,"Win",IF('Match Results'!E35='Match Results'!F35,"Draw","Loss"))</f>
        <v>Win</v>
      </c>
      <c r="F136" s="13" t="n">
        <f aca="false">IF(E136="Win",3,IF(E136="Draw",2,1))</f>
        <v>3</v>
      </c>
    </row>
    <row r="137" customFormat="false" ht="14.25" hidden="false" customHeight="false" outlineLevel="0" collapsed="false">
      <c r="A137" s="13" t="n">
        <f aca="false">'Match Results'!A35</f>
        <v>45939</v>
      </c>
      <c r="B137" s="13" t="n">
        <f aca="false">'Match Results'!B137</f>
        <v>0</v>
      </c>
      <c r="C137" s="13" t="n">
        <v>34</v>
      </c>
      <c r="D137" s="13" t="str">
        <f aca="false">'Match Results'!H35</f>
        <v>Andreas</v>
      </c>
      <c r="E137" s="13" t="str">
        <f aca="false">IF('Match Results'!F35&gt;'Match Results'!E35,"Win",IF('Match Results'!E35='Match Results'!F35,"Draw","Loss"))</f>
        <v>Win</v>
      </c>
      <c r="F137" s="13" t="n">
        <f aca="false">IF(E137="Win",3,IF(E137="Draw",2,1))</f>
        <v>3</v>
      </c>
    </row>
    <row r="138" customFormat="false" ht="14.25" hidden="false" customHeight="false" outlineLevel="0" collapsed="false">
      <c r="A138" s="13" t="n">
        <f aca="false">'Match Results'!A36</f>
        <v>45939</v>
      </c>
      <c r="B138" s="13" t="n">
        <f aca="false">'Match Results'!B138</f>
        <v>0</v>
      </c>
      <c r="C138" s="13" t="n">
        <v>35</v>
      </c>
      <c r="D138" s="13" t="str">
        <f aca="false">'Match Results'!C36</f>
        <v>Hazem</v>
      </c>
      <c r="E138" s="13" t="str">
        <f aca="false">IF('Match Results'!E36&gt;'Match Results'!F36,"Win",IF('Match Results'!E36='Match Results'!F36,"Draw","Loss"))</f>
        <v>Win</v>
      </c>
      <c r="F138" s="13" t="n">
        <f aca="false">IF(E138="Win",3,IF(E138="Draw",2,1))</f>
        <v>3</v>
      </c>
    </row>
    <row r="139" customFormat="false" ht="14.25" hidden="false" customHeight="false" outlineLevel="0" collapsed="false">
      <c r="A139" s="13" t="n">
        <f aca="false">'Match Results'!A36</f>
        <v>45939</v>
      </c>
      <c r="B139" s="13" t="n">
        <f aca="false">'Match Results'!B139</f>
        <v>0</v>
      </c>
      <c r="C139" s="13" t="n">
        <v>35</v>
      </c>
      <c r="D139" s="13" t="str">
        <f aca="false">'Match Results'!D36</f>
        <v>Natalya</v>
      </c>
      <c r="E139" s="13" t="str">
        <f aca="false">IF('Match Results'!E36&gt;'Match Results'!F36,"Win",IF('Match Results'!E36='Match Results'!F36,"Draw","Loss"))</f>
        <v>Win</v>
      </c>
      <c r="F139" s="13" t="n">
        <f aca="false">IF(E139="Win",3,IF(E139="Draw",2,1))</f>
        <v>3</v>
      </c>
    </row>
    <row r="140" customFormat="false" ht="14.25" hidden="false" customHeight="false" outlineLevel="0" collapsed="false">
      <c r="A140" s="13" t="n">
        <f aca="false">'Match Results'!A36</f>
        <v>45939</v>
      </c>
      <c r="B140" s="13" t="n">
        <f aca="false">'Match Results'!B140</f>
        <v>0</v>
      </c>
      <c r="C140" s="13" t="n">
        <v>35</v>
      </c>
      <c r="D140" s="13" t="str">
        <f aca="false">'Match Results'!G36</f>
        <v>Dauren</v>
      </c>
      <c r="E140" s="13" t="str">
        <f aca="false">IF('Match Results'!F36&gt;'Match Results'!E36,"Win",IF('Match Results'!E36='Match Results'!F36,"Draw","Loss"))</f>
        <v>Loss</v>
      </c>
      <c r="F140" s="13" t="n">
        <f aca="false">IF(E140="Win",3,IF(E140="Draw",2,1))</f>
        <v>1</v>
      </c>
    </row>
    <row r="141" customFormat="false" ht="14.25" hidden="false" customHeight="false" outlineLevel="0" collapsed="false">
      <c r="A141" s="13" t="n">
        <f aca="false">'Match Results'!A36</f>
        <v>45939</v>
      </c>
      <c r="B141" s="13" t="n">
        <f aca="false">'Match Results'!B141</f>
        <v>0</v>
      </c>
      <c r="C141" s="13" t="n">
        <v>35</v>
      </c>
      <c r="D141" s="13" t="str">
        <f aca="false">'Match Results'!H36</f>
        <v>Dana</v>
      </c>
      <c r="E141" s="13" t="str">
        <f aca="false">IF('Match Results'!F36&gt;'Match Results'!E36,"Win",IF('Match Results'!E36='Match Results'!F36,"Draw","Loss"))</f>
        <v>Loss</v>
      </c>
      <c r="F141" s="13" t="n">
        <f aca="false">IF(E141="Win",3,IF(E141="Draw",2,1))</f>
        <v>1</v>
      </c>
    </row>
    <row r="142" customFormat="false" ht="14.25" hidden="false" customHeight="false" outlineLevel="0" collapsed="false">
      <c r="A142" s="13" t="n">
        <f aca="false">'Match Results'!A37</f>
        <v>45939</v>
      </c>
      <c r="B142" s="13" t="str">
        <f aca="false">'Match Results'!B142</f>
        <v>Power Court</v>
      </c>
      <c r="C142" s="13" t="n">
        <v>36</v>
      </c>
      <c r="D142" s="13" t="str">
        <f aca="false">'Match Results'!C37</f>
        <v>Own </v>
      </c>
      <c r="E142" s="13" t="str">
        <f aca="false">IF('Match Results'!E37&gt;'Match Results'!F37,"Win",IF('Match Results'!E37='Match Results'!F37,"Draw","Loss"))</f>
        <v>Loss</v>
      </c>
      <c r="F142" s="13" t="n">
        <f aca="false">IF(E142="Win",3,IF(E142="Draw",2,1))</f>
        <v>1</v>
      </c>
    </row>
    <row r="143" customFormat="false" ht="14.25" hidden="false" customHeight="false" outlineLevel="0" collapsed="false">
      <c r="A143" s="13" t="n">
        <f aca="false">'Match Results'!A37</f>
        <v>45939</v>
      </c>
      <c r="B143" s="13" t="str">
        <f aca="false">'Match Results'!B143</f>
        <v>Power Court</v>
      </c>
      <c r="C143" s="13" t="n">
        <v>36</v>
      </c>
      <c r="D143" s="13" t="str">
        <f aca="false">'Match Results'!D37</f>
        <v>Andreas</v>
      </c>
      <c r="E143" s="13" t="str">
        <f aca="false">IF('Match Results'!E37&gt;'Match Results'!F37,"Win",IF('Match Results'!E37='Match Results'!F37,"Draw","Loss"))</f>
        <v>Loss</v>
      </c>
      <c r="F143" s="13" t="n">
        <f aca="false">IF(E143="Win",3,IF(E143="Draw",2,1))</f>
        <v>1</v>
      </c>
    </row>
    <row r="144" customFormat="false" ht="14.25" hidden="false" customHeight="false" outlineLevel="0" collapsed="false">
      <c r="A144" s="13" t="n">
        <f aca="false">'Match Results'!A37</f>
        <v>45939</v>
      </c>
      <c r="B144" s="13" t="str">
        <f aca="false">'Match Results'!B144</f>
        <v>Power Court</v>
      </c>
      <c r="C144" s="13" t="n">
        <v>36</v>
      </c>
      <c r="D144" s="13" t="str">
        <f aca="false">'Match Results'!G37</f>
        <v>Julio</v>
      </c>
      <c r="E144" s="13" t="str">
        <f aca="false">IF('Match Results'!F37&gt;'Match Results'!E37,"Win",IF('Match Results'!E37='Match Results'!F37,"Draw","Loss"))</f>
        <v>Win</v>
      </c>
      <c r="F144" s="13" t="n">
        <f aca="false">IF(E144="Win",3,IF(E144="Draw",2,1))</f>
        <v>3</v>
      </c>
    </row>
    <row r="145" customFormat="false" ht="15" hidden="false" customHeight="true" outlineLevel="0" collapsed="false">
      <c r="A145" s="13" t="n">
        <f aca="false">'Match Results'!A37</f>
        <v>45939</v>
      </c>
      <c r="B145" s="13" t="str">
        <f aca="false">'Match Results'!B145</f>
        <v>Power Court</v>
      </c>
      <c r="C145" s="13" t="n">
        <v>36</v>
      </c>
      <c r="D145" s="13" t="str">
        <f aca="false">'Match Results'!H37</f>
        <v>Baobaid</v>
      </c>
      <c r="E145" s="13" t="str">
        <f aca="false">IF('Match Results'!F37&gt;'Match Results'!E37,"Win",IF('Match Results'!E37='Match Results'!F37,"Draw","Loss"))</f>
        <v>Win</v>
      </c>
      <c r="F145" s="13" t="n">
        <f aca="false">IF(E145="Win",3,IF(E145="Draw",2,1))</f>
        <v>3</v>
      </c>
    </row>
    <row r="146" customFormat="false" ht="14.25" hidden="false" customHeight="false" outlineLevel="0" collapsed="false">
      <c r="A146" s="13" t="n">
        <f aca="false">'Match Results'!A38</f>
        <v>45939</v>
      </c>
      <c r="B146" s="13" t="str">
        <f aca="false">'Match Results'!B146</f>
        <v>Power Court</v>
      </c>
      <c r="C146" s="13" t="n">
        <v>37</v>
      </c>
      <c r="D146" s="13" t="str">
        <f aca="false">'Match Results'!C38</f>
        <v>Ahmad DD </v>
      </c>
      <c r="E146" s="13" t="str">
        <f aca="false">IF('Match Results'!E38&gt;'Match Results'!F38,"Win",IF('Match Results'!E38='Match Results'!F38,"Draw","Loss"))</f>
        <v>Draw</v>
      </c>
      <c r="F146" s="13" t="n">
        <f aca="false">IF(E146="Win",3,IF(E146="Draw",2,1))</f>
        <v>2</v>
      </c>
    </row>
    <row r="147" customFormat="false" ht="14.25" hidden="false" customHeight="false" outlineLevel="0" collapsed="false">
      <c r="A147" s="13" t="n">
        <f aca="false">'Match Results'!A38</f>
        <v>45939</v>
      </c>
      <c r="B147" s="13" t="str">
        <f aca="false">'Match Results'!B147</f>
        <v>Power Court</v>
      </c>
      <c r="C147" s="13" t="n">
        <v>37</v>
      </c>
      <c r="D147" s="13" t="str">
        <f aca="false">'Match Results'!D38</f>
        <v>Andreas</v>
      </c>
      <c r="E147" s="13" t="str">
        <f aca="false">IF('Match Results'!E38&gt;'Match Results'!F38,"Win",IF('Match Results'!E38='Match Results'!F38,"Draw","Loss"))</f>
        <v>Draw</v>
      </c>
      <c r="F147" s="13" t="n">
        <f aca="false">IF(E147="Win",3,IF(E147="Draw",2,1))</f>
        <v>2</v>
      </c>
    </row>
    <row r="148" customFormat="false" ht="14.25" hidden="false" customHeight="false" outlineLevel="0" collapsed="false">
      <c r="A148" s="13" t="n">
        <f aca="false">'Match Results'!A38</f>
        <v>45939</v>
      </c>
      <c r="B148" s="13" t="str">
        <f aca="false">'Match Results'!B148</f>
        <v>Rising Court</v>
      </c>
      <c r="C148" s="13" t="n">
        <v>37</v>
      </c>
      <c r="D148" s="13" t="str">
        <f aca="false">'Match Results'!G38</f>
        <v>Baobaid</v>
      </c>
      <c r="E148" s="13" t="str">
        <f aca="false">IF('Match Results'!F38&gt;'Match Results'!E38,"Win",IF('Match Results'!E38='Match Results'!F38,"Draw","Loss"))</f>
        <v>Draw</v>
      </c>
      <c r="F148" s="13" t="n">
        <f aca="false">IF(E148="Win",3,IF(E148="Draw",2,1))</f>
        <v>2</v>
      </c>
    </row>
    <row r="149" customFormat="false" ht="14.25" hidden="false" customHeight="false" outlineLevel="0" collapsed="false">
      <c r="A149" s="13" t="n">
        <f aca="false">'Match Results'!A38</f>
        <v>45939</v>
      </c>
      <c r="B149" s="13" t="str">
        <f aca="false">'Match Results'!B149</f>
        <v>Rising Court</v>
      </c>
      <c r="C149" s="13" t="n">
        <v>37</v>
      </c>
      <c r="D149" s="13" t="str">
        <f aca="false">'Match Results'!H38</f>
        <v>Julio</v>
      </c>
      <c r="E149" s="13" t="str">
        <f aca="false">IF('Match Results'!F38&gt;'Match Results'!E38,"Win",IF('Match Results'!E38='Match Results'!F38,"Draw","Loss"))</f>
        <v>Draw</v>
      </c>
      <c r="F149" s="13" t="n">
        <f aca="false">IF(E149="Win",3,IF(E149="Draw",2,1))</f>
        <v>2</v>
      </c>
    </row>
    <row r="150" customFormat="false" ht="14.25" hidden="false" customHeight="false" outlineLevel="0" collapsed="false">
      <c r="A150" s="13" t="n">
        <f aca="false">'Match Results'!A39</f>
        <v>45939</v>
      </c>
      <c r="B150" s="13" t="str">
        <f aca="false">'Match Results'!B150</f>
        <v>Rising Court</v>
      </c>
      <c r="C150" s="13" t="n">
        <v>38</v>
      </c>
      <c r="D150" s="13" t="n">
        <f aca="false">'Match Results'!C39</f>
        <v>0</v>
      </c>
      <c r="E150" s="13" t="str">
        <f aca="false">IF('Match Results'!E39&gt;'Match Results'!F39,"Win",IF('Match Results'!E39='Match Results'!F39,"Draw","Loss"))</f>
        <v>Draw</v>
      </c>
      <c r="F150" s="13" t="n">
        <f aca="false">IF(E150="Win",3,IF(E150="Draw",2,1))</f>
        <v>2</v>
      </c>
    </row>
    <row r="151" customFormat="false" ht="14.25" hidden="false" customHeight="false" outlineLevel="0" collapsed="false">
      <c r="A151" s="13" t="n">
        <f aca="false">'Match Results'!A39</f>
        <v>45939</v>
      </c>
      <c r="B151" s="13" t="str">
        <f aca="false">'Match Results'!B151</f>
        <v>Rising Court</v>
      </c>
      <c r="C151" s="13" t="n">
        <v>38</v>
      </c>
      <c r="D151" s="13" t="n">
        <f aca="false">'Match Results'!D39</f>
        <v>0</v>
      </c>
      <c r="E151" s="13" t="str">
        <f aca="false">IF('Match Results'!E39&gt;'Match Results'!F39,"Win",IF('Match Results'!E39='Match Results'!F39,"Draw","Loss"))</f>
        <v>Draw</v>
      </c>
      <c r="F151" s="13" t="n">
        <f aca="false">IF(E151="Win",3,IF(E151="Draw",2,1))</f>
        <v>2</v>
      </c>
    </row>
    <row r="152" customFormat="false" ht="14.25" hidden="false" customHeight="false" outlineLevel="0" collapsed="false">
      <c r="A152" s="13" t="n">
        <f aca="false">'Match Results'!A39</f>
        <v>45939</v>
      </c>
      <c r="B152" s="13" t="str">
        <f aca="false">'Match Results'!B152</f>
        <v>Rising Court</v>
      </c>
      <c r="C152" s="13" t="n">
        <v>38</v>
      </c>
      <c r="D152" s="13" t="n">
        <f aca="false">'Match Results'!G39</f>
        <v>0</v>
      </c>
      <c r="E152" s="13" t="str">
        <f aca="false">IF('Match Results'!F39&gt;'Match Results'!E39,"Win",IF('Match Results'!E39='Match Results'!F39,"Draw","Loss"))</f>
        <v>Draw</v>
      </c>
      <c r="F152" s="13" t="n">
        <f aca="false">IF(E152="Win",3,IF(E152="Draw",2,1))</f>
        <v>2</v>
      </c>
    </row>
    <row r="153" customFormat="false" ht="14.25" hidden="false" customHeight="false" outlineLevel="0" collapsed="false">
      <c r="A153" s="13" t="n">
        <f aca="false">'Match Results'!A39</f>
        <v>45939</v>
      </c>
      <c r="B153" s="13" t="str">
        <f aca="false">'Match Results'!B153</f>
        <v>Rising Court</v>
      </c>
      <c r="C153" s="13" t="n">
        <v>38</v>
      </c>
      <c r="D153" s="13" t="n">
        <f aca="false">'Match Results'!H39</f>
        <v>0</v>
      </c>
      <c r="E153" s="13" t="str">
        <f aca="false">IF('Match Results'!F39&gt;'Match Results'!E39,"Win",IF('Match Results'!E39='Match Results'!F39,"Draw","Loss"))</f>
        <v>Draw</v>
      </c>
      <c r="F153" s="13" t="n">
        <f aca="false">IF(E153="Win",3,IF(E153="Draw",2,1))</f>
        <v>2</v>
      </c>
    </row>
    <row r="154" customFormat="false" ht="14.25" hidden="false" customHeight="false" outlineLevel="0" collapsed="false">
      <c r="A154" s="13" t="n">
        <f aca="false">'Match Results'!A40</f>
        <v>45939</v>
      </c>
      <c r="B154" s="13" t="n">
        <f aca="false">'Match Results'!B154</f>
        <v>0</v>
      </c>
      <c r="C154" s="13" t="n">
        <v>39</v>
      </c>
      <c r="D154" s="13" t="n">
        <f aca="false">'Match Results'!C40</f>
        <v>0</v>
      </c>
      <c r="E154" s="13" t="str">
        <f aca="false">IF('Match Results'!E40&gt;'Match Results'!F40,"Win",IF('Match Results'!E40='Match Results'!F40,"Draw","Loss"))</f>
        <v>Draw</v>
      </c>
      <c r="F154" s="13" t="n">
        <f aca="false">IF(E154="Win",3,IF(E154="Draw",2,1))</f>
        <v>2</v>
      </c>
    </row>
    <row r="155" customFormat="false" ht="14.25" hidden="false" customHeight="false" outlineLevel="0" collapsed="false">
      <c r="A155" s="13" t="n">
        <f aca="false">'Match Results'!A40</f>
        <v>45939</v>
      </c>
      <c r="B155" s="13" t="n">
        <f aca="false">'Match Results'!B155</f>
        <v>0</v>
      </c>
      <c r="C155" s="13" t="n">
        <v>39</v>
      </c>
      <c r="D155" s="13" t="n">
        <f aca="false">'Match Results'!D40</f>
        <v>0</v>
      </c>
      <c r="E155" s="13" t="str">
        <f aca="false">IF('Match Results'!E40&gt;'Match Results'!F40,"Win",IF('Match Results'!E40='Match Results'!F40,"Draw","Loss"))</f>
        <v>Draw</v>
      </c>
      <c r="F155" s="13" t="n">
        <f aca="false">IF(E155="Win",3,IF(E155="Draw",2,1))</f>
        <v>2</v>
      </c>
    </row>
    <row r="156" customFormat="false" ht="14.25" hidden="false" customHeight="false" outlineLevel="0" collapsed="false">
      <c r="A156" s="13" t="n">
        <f aca="false">'Match Results'!A40</f>
        <v>45939</v>
      </c>
      <c r="B156" s="13" t="n">
        <f aca="false">'Match Results'!B156</f>
        <v>0</v>
      </c>
      <c r="C156" s="13" t="n">
        <v>39</v>
      </c>
      <c r="D156" s="13" t="n">
        <f aca="false">'Match Results'!G40</f>
        <v>0</v>
      </c>
      <c r="E156" s="13" t="str">
        <f aca="false">IF('Match Results'!F40&gt;'Match Results'!E40,"Win",IF('Match Results'!E40='Match Results'!F40,"Draw","Loss"))</f>
        <v>Draw</v>
      </c>
      <c r="F156" s="13" t="n">
        <f aca="false">IF(E156="Win",3,IF(E156="Draw",2,1))</f>
        <v>2</v>
      </c>
    </row>
    <row r="157" customFormat="false" ht="14.25" hidden="false" customHeight="false" outlineLevel="0" collapsed="false">
      <c r="A157" s="13" t="n">
        <f aca="false">'Match Results'!A40</f>
        <v>45939</v>
      </c>
      <c r="B157" s="13" t="n">
        <f aca="false">'Match Results'!B157</f>
        <v>0</v>
      </c>
      <c r="C157" s="13" t="n">
        <v>39</v>
      </c>
      <c r="D157" s="13" t="n">
        <f aca="false">'Match Results'!H40</f>
        <v>0</v>
      </c>
      <c r="E157" s="13" t="str">
        <f aca="false">IF('Match Results'!F40&gt;'Match Results'!E40,"Win",IF('Match Results'!E40='Match Results'!F40,"Draw","Loss"))</f>
        <v>Draw</v>
      </c>
      <c r="F157" s="13" t="n">
        <f aca="false">IF(E157="Win",3,IF(E157="Draw",2,1))</f>
        <v>2</v>
      </c>
    </row>
    <row r="158" customFormat="false" ht="14.25" hidden="false" customHeight="false" outlineLevel="0" collapsed="false">
      <c r="A158" s="13" t="n">
        <f aca="false">'Match Results'!A41</f>
        <v>45939</v>
      </c>
      <c r="B158" s="13" t="n">
        <f aca="false">'Match Results'!B158</f>
        <v>0</v>
      </c>
      <c r="C158" s="13" t="n">
        <v>40</v>
      </c>
      <c r="D158" s="13" t="n">
        <f aca="false">'Match Results'!C41</f>
        <v>0</v>
      </c>
      <c r="E158" s="13" t="str">
        <f aca="false">IF('Match Results'!E41&gt;'Match Results'!F41,"Win",IF('Match Results'!E41='Match Results'!F41,"Draw","Loss"))</f>
        <v>Draw</v>
      </c>
      <c r="F158" s="13" t="n">
        <f aca="false">IF(E158="Win",3,IF(E158="Draw",2,1))</f>
        <v>2</v>
      </c>
    </row>
    <row r="159" customFormat="false" ht="14.25" hidden="false" customHeight="false" outlineLevel="0" collapsed="false">
      <c r="A159" s="13" t="n">
        <f aca="false">'Match Results'!A41</f>
        <v>45939</v>
      </c>
      <c r="B159" s="13" t="n">
        <f aca="false">'Match Results'!B159</f>
        <v>0</v>
      </c>
      <c r="C159" s="13" t="n">
        <v>40</v>
      </c>
      <c r="D159" s="13" t="n">
        <f aca="false">'Match Results'!D41</f>
        <v>0</v>
      </c>
      <c r="E159" s="13" t="str">
        <f aca="false">IF('Match Results'!E41&gt;'Match Results'!F41,"Win",IF('Match Results'!E41='Match Results'!F41,"Draw","Loss"))</f>
        <v>Draw</v>
      </c>
      <c r="F159" s="13" t="n">
        <f aca="false">IF(E159="Win",3,IF(E159="Draw",2,1))</f>
        <v>2</v>
      </c>
    </row>
    <row r="160" customFormat="false" ht="14.25" hidden="false" customHeight="false" outlineLevel="0" collapsed="false">
      <c r="A160" s="13" t="n">
        <f aca="false">'Match Results'!A41</f>
        <v>45939</v>
      </c>
      <c r="B160" s="13" t="n">
        <f aca="false">'Match Results'!B160</f>
        <v>0</v>
      </c>
      <c r="C160" s="13" t="n">
        <v>40</v>
      </c>
      <c r="D160" s="13" t="n">
        <f aca="false">'Match Results'!G41</f>
        <v>0</v>
      </c>
      <c r="E160" s="13" t="str">
        <f aca="false">IF('Match Results'!F41&gt;'Match Results'!E41,"Win",IF('Match Results'!E41='Match Results'!F41,"Draw","Loss"))</f>
        <v>Draw</v>
      </c>
      <c r="F160" s="13" t="n">
        <f aca="false">IF(E160="Win",3,IF(E160="Draw",2,1))</f>
        <v>2</v>
      </c>
    </row>
    <row r="161" customFormat="false" ht="14.25" hidden="false" customHeight="false" outlineLevel="0" collapsed="false">
      <c r="A161" s="13" t="n">
        <f aca="false">'Match Results'!A41</f>
        <v>45939</v>
      </c>
      <c r="B161" s="13" t="n">
        <f aca="false">'Match Results'!B161</f>
        <v>0</v>
      </c>
      <c r="C161" s="13" t="n">
        <v>40</v>
      </c>
      <c r="D161" s="13" t="n">
        <f aca="false">'Match Results'!H41</f>
        <v>0</v>
      </c>
      <c r="E161" s="13" t="str">
        <f aca="false">IF('Match Results'!F41&gt;'Match Results'!E41,"Win",IF('Match Results'!E41='Match Results'!F41,"Draw","Loss"))</f>
        <v>Draw</v>
      </c>
      <c r="F161" s="13" t="n">
        <f aca="false">IF(E161="Win",3,IF(E161="Draw",2,1))</f>
        <v>2</v>
      </c>
    </row>
    <row r="162" customFormat="false" ht="14.25" hidden="false" customHeight="false" outlineLevel="0" collapsed="false">
      <c r="A162" s="13" t="n">
        <f aca="false">'Match Results'!A42</f>
        <v>45946</v>
      </c>
      <c r="B162" s="13" t="str">
        <f aca="false">'Match Results'!B162</f>
        <v>Power Court</v>
      </c>
      <c r="C162" s="13" t="n">
        <v>41</v>
      </c>
      <c r="D162" s="13" t="str">
        <f aca="false">'Match Results'!C42</f>
        <v>Thomas</v>
      </c>
      <c r="E162" s="13" t="str">
        <f aca="false">IF('Match Results'!E42&gt;'Match Results'!F42,"Win",IF('Match Results'!E42='Match Results'!F42,"Draw","Loss"))</f>
        <v>Win</v>
      </c>
      <c r="F162" s="13" t="n">
        <f aca="false">IF(E162="Win",3,IF(E162="Draw",2,1))</f>
        <v>3</v>
      </c>
    </row>
    <row r="163" customFormat="false" ht="14.25" hidden="false" customHeight="false" outlineLevel="0" collapsed="false">
      <c r="A163" s="13" t="n">
        <f aca="false">'Match Results'!A42</f>
        <v>45946</v>
      </c>
      <c r="B163" s="13" t="str">
        <f aca="false">'Match Results'!B163</f>
        <v>Power Court</v>
      </c>
      <c r="C163" s="13" t="n">
        <v>41</v>
      </c>
      <c r="D163" s="13" t="str">
        <f aca="false">'Match Results'!D42</f>
        <v>Own </v>
      </c>
      <c r="E163" s="13" t="str">
        <f aca="false">IF('Match Results'!E42&gt;'Match Results'!F42,"Win",IF('Match Results'!E42='Match Results'!F42,"Draw","Loss"))</f>
        <v>Win</v>
      </c>
      <c r="F163" s="13" t="n">
        <f aca="false">IF(E163="Win",3,IF(E163="Draw",2,1))</f>
        <v>3</v>
      </c>
    </row>
    <row r="164" customFormat="false" ht="14.25" hidden="false" customHeight="false" outlineLevel="0" collapsed="false">
      <c r="A164" s="13" t="n">
        <f aca="false">'Match Results'!A42</f>
        <v>45946</v>
      </c>
      <c r="B164" s="13" t="str">
        <f aca="false">'Match Results'!B164</f>
        <v>Power Court</v>
      </c>
      <c r="C164" s="13" t="n">
        <v>41</v>
      </c>
      <c r="D164" s="13" t="str">
        <f aca="false">'Match Results'!G42</f>
        <v>Andreas</v>
      </c>
      <c r="E164" s="13" t="str">
        <f aca="false">IF('Match Results'!F42&gt;'Match Results'!E42,"Win",IF('Match Results'!E42='Match Results'!F42,"Draw","Loss"))</f>
        <v>Loss</v>
      </c>
      <c r="F164" s="13" t="n">
        <f aca="false">IF(E164="Win",3,IF(E164="Draw",2,1))</f>
        <v>1</v>
      </c>
    </row>
    <row r="165" customFormat="false" ht="14.25" hidden="false" customHeight="false" outlineLevel="0" collapsed="false">
      <c r="A165" s="13" t="n">
        <f aca="false">'Match Results'!A42</f>
        <v>45946</v>
      </c>
      <c r="B165" s="13" t="str">
        <f aca="false">'Match Results'!B165</f>
        <v>Power Court</v>
      </c>
      <c r="C165" s="13" t="n">
        <v>41</v>
      </c>
      <c r="D165" s="13" t="str">
        <f aca="false">'Match Results'!H42</f>
        <v>Julio</v>
      </c>
      <c r="E165" s="13" t="str">
        <f aca="false">IF('Match Results'!F42&gt;'Match Results'!E42,"Win",IF('Match Results'!E42='Match Results'!F42,"Draw","Loss"))</f>
        <v>Loss</v>
      </c>
      <c r="F165" s="13" t="n">
        <f aca="false">IF(E165="Win",3,IF(E165="Draw",2,1))</f>
        <v>1</v>
      </c>
    </row>
    <row r="166" customFormat="false" ht="14.25" hidden="false" customHeight="false" outlineLevel="0" collapsed="false">
      <c r="A166" s="13" t="n">
        <f aca="false">'Match Results'!A43</f>
        <v>45946</v>
      </c>
      <c r="B166" s="13" t="str">
        <f aca="false">'Match Results'!B166</f>
        <v>Power Court</v>
      </c>
      <c r="C166" s="13" t="n">
        <v>42</v>
      </c>
      <c r="D166" s="13" t="str">
        <f aca="false">'Match Results'!C43</f>
        <v>Ahmad DD </v>
      </c>
      <c r="E166" s="13" t="str">
        <f aca="false">IF('Match Results'!E43&gt;'Match Results'!F43,"Win",IF('Match Results'!E43='Match Results'!F43,"Draw","Loss"))</f>
        <v>Win</v>
      </c>
      <c r="F166" s="13" t="n">
        <f aca="false">IF(E166="Win",3,IF(E166="Draw",2,1))</f>
        <v>3</v>
      </c>
    </row>
    <row r="167" customFormat="false" ht="14.25" hidden="false" customHeight="false" outlineLevel="0" collapsed="false">
      <c r="A167" s="13" t="n">
        <f aca="false">'Match Results'!A43</f>
        <v>45946</v>
      </c>
      <c r="B167" s="13" t="str">
        <f aca="false">'Match Results'!B167</f>
        <v>Power Court</v>
      </c>
      <c r="C167" s="13" t="n">
        <v>42</v>
      </c>
      <c r="D167" s="13" t="str">
        <f aca="false">'Match Results'!D43</f>
        <v>Natalya</v>
      </c>
      <c r="E167" s="13" t="str">
        <f aca="false">IF('Match Results'!E43&gt;'Match Results'!F43,"Win",IF('Match Results'!E43='Match Results'!F43,"Draw","Loss"))</f>
        <v>Win</v>
      </c>
      <c r="F167" s="13" t="n">
        <f aca="false">IF(E167="Win",3,IF(E167="Draw",2,1))</f>
        <v>3</v>
      </c>
    </row>
    <row r="168" customFormat="false" ht="14.25" hidden="false" customHeight="false" outlineLevel="0" collapsed="false">
      <c r="A168" s="13" t="n">
        <f aca="false">'Match Results'!A43</f>
        <v>45946</v>
      </c>
      <c r="B168" s="13" t="str">
        <f aca="false">'Match Results'!B168</f>
        <v>Rising Court</v>
      </c>
      <c r="C168" s="13" t="n">
        <v>42</v>
      </c>
      <c r="D168" s="13" t="str">
        <f aca="false">'Match Results'!G43</f>
        <v>Joel</v>
      </c>
      <c r="E168" s="13" t="str">
        <f aca="false">IF('Match Results'!F43&gt;'Match Results'!E43,"Win",IF('Match Results'!E43='Match Results'!F43,"Draw","Loss"))</f>
        <v>Loss</v>
      </c>
      <c r="F168" s="13" t="n">
        <f aca="false">IF(E168="Win",3,IF(E168="Draw",2,1))</f>
        <v>1</v>
      </c>
    </row>
    <row r="169" customFormat="false" ht="14.25" hidden="false" customHeight="false" outlineLevel="0" collapsed="false">
      <c r="A169" s="13" t="n">
        <f aca="false">'Match Results'!A43</f>
        <v>45946</v>
      </c>
      <c r="B169" s="13" t="str">
        <f aca="false">'Match Results'!B169</f>
        <v>Rising Court</v>
      </c>
      <c r="C169" s="13" t="n">
        <v>42</v>
      </c>
      <c r="D169" s="13" t="str">
        <f aca="false">'Match Results'!H43</f>
        <v>Amit</v>
      </c>
      <c r="E169" s="13" t="str">
        <f aca="false">IF('Match Results'!F43&gt;'Match Results'!E43,"Win",IF('Match Results'!E43='Match Results'!F43,"Draw","Loss"))</f>
        <v>Loss</v>
      </c>
      <c r="F169" s="13" t="n">
        <f aca="false">IF(E169="Win",3,IF(E169="Draw",2,1))</f>
        <v>1</v>
      </c>
    </row>
    <row r="170" customFormat="false" ht="14.25" hidden="false" customHeight="false" outlineLevel="0" collapsed="false">
      <c r="A170" s="13" t="n">
        <f aca="false">'Match Results'!A44</f>
        <v>45946</v>
      </c>
      <c r="B170" s="13" t="str">
        <f aca="false">'Match Results'!B170</f>
        <v>Rising Court</v>
      </c>
      <c r="C170" s="13" t="n">
        <v>43</v>
      </c>
      <c r="D170" s="13" t="str">
        <f aca="false">'Match Results'!C44</f>
        <v>Bruno</v>
      </c>
      <c r="E170" s="13" t="str">
        <f aca="false">IF('Match Results'!E44&gt;'Match Results'!F44,"Win",IF('Match Results'!E44='Match Results'!F44,"Draw","Loss"))</f>
        <v>Win</v>
      </c>
      <c r="F170" s="13" t="n">
        <f aca="false">IF(E170="Win",3,IF(E170="Draw",2,1))</f>
        <v>3</v>
      </c>
    </row>
    <row r="171" customFormat="false" ht="14.25" hidden="false" customHeight="false" outlineLevel="0" collapsed="false">
      <c r="A171" s="13" t="n">
        <f aca="false">'Match Results'!A44</f>
        <v>45946</v>
      </c>
      <c r="B171" s="13" t="str">
        <f aca="false">'Match Results'!B171</f>
        <v>Rising Court</v>
      </c>
      <c r="C171" s="13" t="n">
        <v>43</v>
      </c>
      <c r="D171" s="13" t="str">
        <f aca="false">'Match Results'!D44</f>
        <v>Sharuk</v>
      </c>
      <c r="E171" s="13" t="str">
        <f aca="false">IF('Match Results'!E44&gt;'Match Results'!F44,"Win",IF('Match Results'!E44='Match Results'!F44,"Draw","Loss"))</f>
        <v>Win</v>
      </c>
      <c r="F171" s="13" t="n">
        <f aca="false">IF(E171="Win",3,IF(E171="Draw",2,1))</f>
        <v>3</v>
      </c>
    </row>
    <row r="172" customFormat="false" ht="14.25" hidden="false" customHeight="false" outlineLevel="0" collapsed="false">
      <c r="A172" s="13" t="n">
        <f aca="false">'Match Results'!A44</f>
        <v>45946</v>
      </c>
      <c r="B172" s="13" t="str">
        <f aca="false">'Match Results'!B172</f>
        <v>Rising Court</v>
      </c>
      <c r="C172" s="13" t="n">
        <v>43</v>
      </c>
      <c r="D172" s="13" t="str">
        <f aca="false">'Match Results'!G44</f>
        <v>Renato</v>
      </c>
      <c r="E172" s="13" t="str">
        <f aca="false">IF('Match Results'!F44&gt;'Match Results'!E44,"Win",IF('Match Results'!E44='Match Results'!F44,"Draw","Loss"))</f>
        <v>Loss</v>
      </c>
      <c r="F172" s="13" t="n">
        <f aca="false">IF(E172="Win",3,IF(E172="Draw",2,1))</f>
        <v>1</v>
      </c>
    </row>
    <row r="173" customFormat="false" ht="14.25" hidden="false" customHeight="false" outlineLevel="0" collapsed="false">
      <c r="A173" s="13" t="n">
        <f aca="false">'Match Results'!A44</f>
        <v>45946</v>
      </c>
      <c r="B173" s="13" t="str">
        <f aca="false">'Match Results'!B173</f>
        <v>Rising Court</v>
      </c>
      <c r="C173" s="13" t="n">
        <v>43</v>
      </c>
      <c r="D173" s="13" t="str">
        <f aca="false">'Match Results'!H44</f>
        <v>Dauren</v>
      </c>
      <c r="E173" s="13" t="str">
        <f aca="false">IF('Match Results'!F44&gt;'Match Results'!E44,"Win",IF('Match Results'!E44='Match Results'!F44,"Draw","Loss"))</f>
        <v>Loss</v>
      </c>
      <c r="F173" s="13" t="n">
        <f aca="false">IF(E173="Win",3,IF(E173="Draw",2,1))</f>
        <v>1</v>
      </c>
    </row>
    <row r="174" customFormat="false" ht="14.25" hidden="false" customHeight="false" outlineLevel="0" collapsed="false">
      <c r="A174" s="13" t="n">
        <f aca="false">'Match Results'!A45</f>
        <v>45946</v>
      </c>
      <c r="B174" s="13" t="n">
        <f aca="false">'Match Results'!B174</f>
        <v>0</v>
      </c>
      <c r="C174" s="13" t="n">
        <v>44</v>
      </c>
      <c r="D174" s="13" t="str">
        <f aca="false">'Match Results'!C45</f>
        <v>Joel</v>
      </c>
      <c r="E174" s="13" t="str">
        <f aca="false">IF('Match Results'!E45&gt;'Match Results'!F45,"Win",IF('Match Results'!E45='Match Results'!F45,"Draw","Loss"))</f>
        <v>Win</v>
      </c>
      <c r="F174" s="13" t="n">
        <f aca="false">IF(E174="Win",3,IF(E174="Draw",2,1))</f>
        <v>3</v>
      </c>
    </row>
    <row r="175" customFormat="false" ht="14.25" hidden="false" customHeight="false" outlineLevel="0" collapsed="false">
      <c r="A175" s="13" t="n">
        <f aca="false">'Match Results'!A45</f>
        <v>45946</v>
      </c>
      <c r="B175" s="13" t="n">
        <f aca="false">'Match Results'!B175</f>
        <v>0</v>
      </c>
      <c r="C175" s="13" t="n">
        <v>44</v>
      </c>
      <c r="D175" s="13" t="str">
        <f aca="false">'Match Results'!D45</f>
        <v>Natalya</v>
      </c>
      <c r="E175" s="13" t="str">
        <f aca="false">IF('Match Results'!E45&gt;'Match Results'!F45,"Win",IF('Match Results'!E45='Match Results'!F45,"Draw","Loss"))</f>
        <v>Win</v>
      </c>
      <c r="F175" s="13" t="n">
        <f aca="false">IF(E175="Win",3,IF(E175="Draw",2,1))</f>
        <v>3</v>
      </c>
    </row>
    <row r="176" customFormat="false" ht="14.25" hidden="false" customHeight="false" outlineLevel="0" collapsed="false">
      <c r="A176" s="13" t="n">
        <f aca="false">'Match Results'!A45</f>
        <v>45946</v>
      </c>
      <c r="B176" s="13" t="n">
        <f aca="false">'Match Results'!B176</f>
        <v>0</v>
      </c>
      <c r="C176" s="13" t="n">
        <v>44</v>
      </c>
      <c r="D176" s="13" t="str">
        <f aca="false">'Match Results'!G45</f>
        <v>Caner</v>
      </c>
      <c r="E176" s="13" t="str">
        <f aca="false">IF('Match Results'!F45&gt;'Match Results'!E45,"Win",IF('Match Results'!E45='Match Results'!F45,"Draw","Loss"))</f>
        <v>Loss</v>
      </c>
      <c r="F176" s="13" t="n">
        <f aca="false">IF(E176="Win",3,IF(E176="Draw",2,1))</f>
        <v>1</v>
      </c>
    </row>
    <row r="177" customFormat="false" ht="14.25" hidden="false" customHeight="false" outlineLevel="0" collapsed="false">
      <c r="A177" s="13" t="n">
        <f aca="false">'Match Results'!A45</f>
        <v>45946</v>
      </c>
      <c r="B177" s="13" t="n">
        <f aca="false">'Match Results'!B177</f>
        <v>0</v>
      </c>
      <c r="C177" s="13" t="n">
        <v>44</v>
      </c>
      <c r="D177" s="13" t="str">
        <f aca="false">'Match Results'!H45</f>
        <v>Julio</v>
      </c>
      <c r="E177" s="13" t="str">
        <f aca="false">IF('Match Results'!F45&gt;'Match Results'!E45,"Win",IF('Match Results'!E45='Match Results'!F45,"Draw","Loss"))</f>
        <v>Loss</v>
      </c>
      <c r="F177" s="13" t="n">
        <f aca="false">IF(E177="Win",3,IF(E177="Draw",2,1))</f>
        <v>1</v>
      </c>
    </row>
    <row r="178" customFormat="false" ht="14.25" hidden="false" customHeight="false" outlineLevel="0" collapsed="false">
      <c r="A178" s="13" t="n">
        <f aca="false">'Match Results'!A46</f>
        <v>45946</v>
      </c>
      <c r="B178" s="13" t="n">
        <f aca="false">'Match Results'!B178</f>
        <v>0</v>
      </c>
      <c r="C178" s="13" t="n">
        <v>45</v>
      </c>
      <c r="D178" s="13" t="str">
        <f aca="false">'Match Results'!C46</f>
        <v>Ahmad DD </v>
      </c>
      <c r="E178" s="13" t="str">
        <f aca="false">IF('Match Results'!E46&gt;'Match Results'!F46,"Win",IF('Match Results'!E46='Match Results'!F46,"Draw","Loss"))</f>
        <v>Win</v>
      </c>
      <c r="F178" s="13" t="n">
        <f aca="false">IF(E178="Win",3,IF(E178="Draw",2,1))</f>
        <v>3</v>
      </c>
    </row>
    <row r="179" customFormat="false" ht="14.25" hidden="false" customHeight="false" outlineLevel="0" collapsed="false">
      <c r="A179" s="13" t="n">
        <f aca="false">'Match Results'!A46</f>
        <v>45946</v>
      </c>
      <c r="B179" s="13" t="n">
        <f aca="false">'Match Results'!B179</f>
        <v>0</v>
      </c>
      <c r="C179" s="13" t="n">
        <v>45</v>
      </c>
      <c r="D179" s="13" t="str">
        <f aca="false">'Match Results'!D46</f>
        <v>Andreas</v>
      </c>
      <c r="E179" s="13" t="str">
        <f aca="false">IF('Match Results'!E46&gt;'Match Results'!F46,"Win",IF('Match Results'!E46='Match Results'!F46,"Draw","Loss"))</f>
        <v>Win</v>
      </c>
      <c r="F179" s="13" t="n">
        <f aca="false">IF(E179="Win",3,IF(E179="Draw",2,1))</f>
        <v>3</v>
      </c>
    </row>
    <row r="180" customFormat="false" ht="14.25" hidden="false" customHeight="false" outlineLevel="0" collapsed="false">
      <c r="A180" s="13" t="n">
        <f aca="false">'Match Results'!A46</f>
        <v>45946</v>
      </c>
      <c r="B180" s="13" t="n">
        <f aca="false">'Match Results'!B180</f>
        <v>0</v>
      </c>
      <c r="C180" s="13" t="n">
        <v>45</v>
      </c>
      <c r="D180" s="13" t="str">
        <f aca="false">'Match Results'!G46</f>
        <v>Own </v>
      </c>
      <c r="E180" s="13" t="str">
        <f aca="false">IF('Match Results'!F46&gt;'Match Results'!E46,"Win",IF('Match Results'!E46='Match Results'!F46,"Draw","Loss"))</f>
        <v>Loss</v>
      </c>
      <c r="F180" s="13" t="n">
        <f aca="false">IF(E180="Win",3,IF(E180="Draw",2,1))</f>
        <v>1</v>
      </c>
    </row>
    <row r="181" customFormat="false" ht="14.25" hidden="false" customHeight="false" outlineLevel="0" collapsed="false">
      <c r="A181" s="13" t="n">
        <f aca="false">'Match Results'!A46</f>
        <v>45946</v>
      </c>
      <c r="B181" s="13" t="n">
        <f aca="false">'Match Results'!B181</f>
        <v>0</v>
      </c>
      <c r="C181" s="13" t="n">
        <v>45</v>
      </c>
      <c r="D181" s="13" t="str">
        <f aca="false">'Match Results'!H46</f>
        <v>Thomas</v>
      </c>
      <c r="E181" s="13" t="str">
        <f aca="false">IF('Match Results'!F46&gt;'Match Results'!E46,"Win",IF('Match Results'!E46='Match Results'!F46,"Draw","Loss"))</f>
        <v>Loss</v>
      </c>
      <c r="F181" s="13" t="n">
        <f aca="false">IF(E181="Win",3,IF(E181="Draw",2,1))</f>
        <v>1</v>
      </c>
    </row>
    <row r="182" customFormat="false" ht="14.25" hidden="false" customHeight="false" outlineLevel="0" collapsed="false">
      <c r="A182" s="13" t="n">
        <f aca="false">'Match Results'!A47</f>
        <v>45946</v>
      </c>
      <c r="B182" s="13" t="str">
        <f aca="false">'Match Results'!B182</f>
        <v>Power Court</v>
      </c>
      <c r="C182" s="13" t="n">
        <v>46</v>
      </c>
      <c r="D182" s="13" t="str">
        <f aca="false">'Match Results'!C47</f>
        <v>Natalya</v>
      </c>
      <c r="E182" s="13" t="str">
        <f aca="false">IF('Match Results'!E47&gt;'Match Results'!F47,"Win",IF('Match Results'!E47='Match Results'!F47,"Draw","Loss"))</f>
        <v>Win</v>
      </c>
      <c r="F182" s="13" t="n">
        <f aca="false">IF(E182="Win",3,IF(E182="Draw",2,1))</f>
        <v>3</v>
      </c>
    </row>
    <row r="183" customFormat="false" ht="14.25" hidden="false" customHeight="false" outlineLevel="0" collapsed="false">
      <c r="A183" s="13" t="n">
        <f aca="false">'Match Results'!A47</f>
        <v>45946</v>
      </c>
      <c r="B183" s="13" t="str">
        <f aca="false">'Match Results'!B183</f>
        <v>Power Court</v>
      </c>
      <c r="C183" s="13" t="n">
        <v>46</v>
      </c>
      <c r="D183" s="13" t="str">
        <f aca="false">'Match Results'!D47</f>
        <v>Natella</v>
      </c>
      <c r="E183" s="13" t="str">
        <f aca="false">IF('Match Results'!E47&gt;'Match Results'!F47,"Win",IF('Match Results'!E47='Match Results'!F47,"Draw","Loss"))</f>
        <v>Win</v>
      </c>
      <c r="F183" s="13" t="n">
        <f aca="false">IF(E183="Win",3,IF(E183="Draw",2,1))</f>
        <v>3</v>
      </c>
    </row>
    <row r="184" customFormat="false" ht="14.25" hidden="false" customHeight="false" outlineLevel="0" collapsed="false">
      <c r="A184" s="13" t="n">
        <f aca="false">'Match Results'!A47</f>
        <v>45946</v>
      </c>
      <c r="B184" s="13" t="str">
        <f aca="false">'Match Results'!B184</f>
        <v>Power Court</v>
      </c>
      <c r="C184" s="13" t="n">
        <v>46</v>
      </c>
      <c r="D184" s="13" t="str">
        <f aca="false">'Match Results'!G47</f>
        <v>Dana</v>
      </c>
      <c r="E184" s="13" t="str">
        <f aca="false">IF('Match Results'!F47&gt;'Match Results'!E47,"Win",IF('Match Results'!E47='Match Results'!F47,"Draw","Loss"))</f>
        <v>Loss</v>
      </c>
      <c r="F184" s="13" t="n">
        <f aca="false">IF(E184="Win",3,IF(E184="Draw",2,1))</f>
        <v>1</v>
      </c>
    </row>
    <row r="185" customFormat="false" ht="14.25" hidden="false" customHeight="false" outlineLevel="0" collapsed="false">
      <c r="A185" s="13" t="n">
        <f aca="false">'Match Results'!A47</f>
        <v>45946</v>
      </c>
      <c r="B185" s="13" t="str">
        <f aca="false">'Match Results'!B185</f>
        <v>Power Court</v>
      </c>
      <c r="C185" s="13" t="n">
        <v>46</v>
      </c>
      <c r="D185" s="13" t="str">
        <f aca="false">'Match Results'!H47</f>
        <v>Amit</v>
      </c>
      <c r="E185" s="13" t="str">
        <f aca="false">IF('Match Results'!F47&gt;'Match Results'!E47,"Win",IF('Match Results'!E47='Match Results'!F47,"Draw","Loss"))</f>
        <v>Loss</v>
      </c>
      <c r="F185" s="13" t="n">
        <f aca="false">IF(E185="Win",3,IF(E185="Draw",2,1))</f>
        <v>1</v>
      </c>
    </row>
    <row r="186" customFormat="false" ht="14.25" hidden="false" customHeight="false" outlineLevel="0" collapsed="false">
      <c r="A186" s="13" t="n">
        <f aca="false">'Match Results'!A48</f>
        <v>45946</v>
      </c>
      <c r="B186" s="13" t="str">
        <f aca="false">'Match Results'!B186</f>
        <v>Power Court</v>
      </c>
      <c r="C186" s="13" t="n">
        <v>47</v>
      </c>
      <c r="D186" s="13" t="str">
        <f aca="false">'Match Results'!C48</f>
        <v>Dana</v>
      </c>
      <c r="E186" s="13" t="str">
        <f aca="false">IF('Match Results'!E48&gt;'Match Results'!F48,"Win",IF('Match Results'!E48='Match Results'!F48,"Draw","Loss"))</f>
        <v>Win</v>
      </c>
      <c r="F186" s="13" t="n">
        <f aca="false">IF(E186="Win",3,IF(E186="Draw",2,1))</f>
        <v>3</v>
      </c>
    </row>
    <row r="187" customFormat="false" ht="14.25" hidden="false" customHeight="false" outlineLevel="0" collapsed="false">
      <c r="A187" s="13" t="n">
        <f aca="false">'Match Results'!A48</f>
        <v>45946</v>
      </c>
      <c r="B187" s="13" t="str">
        <f aca="false">'Match Results'!B187</f>
        <v>Power Court</v>
      </c>
      <c r="C187" s="13" t="n">
        <v>47</v>
      </c>
      <c r="D187" s="13" t="str">
        <f aca="false">'Match Results'!D48</f>
        <v>Matthias</v>
      </c>
      <c r="E187" s="13" t="str">
        <f aca="false">IF('Match Results'!E48&gt;'Match Results'!F48,"Win",IF('Match Results'!E48='Match Results'!F48,"Draw","Loss"))</f>
        <v>Win</v>
      </c>
      <c r="F187" s="13" t="n">
        <f aca="false">IF(E187="Win",3,IF(E187="Draw",2,1))</f>
        <v>3</v>
      </c>
    </row>
    <row r="188" customFormat="false" ht="14.25" hidden="false" customHeight="false" outlineLevel="0" collapsed="false">
      <c r="A188" s="13" t="n">
        <f aca="false">'Match Results'!A48</f>
        <v>45946</v>
      </c>
      <c r="B188" s="13" t="str">
        <f aca="false">'Match Results'!B188</f>
        <v>Rising Court</v>
      </c>
      <c r="C188" s="13" t="n">
        <v>47</v>
      </c>
      <c r="D188" s="13" t="str">
        <f aca="false">'Match Results'!G48</f>
        <v>Natella</v>
      </c>
      <c r="E188" s="13" t="str">
        <f aca="false">IF('Match Results'!F48&gt;'Match Results'!E48,"Win",IF('Match Results'!E48='Match Results'!F48,"Draw","Loss"))</f>
        <v>Loss</v>
      </c>
      <c r="F188" s="13" t="n">
        <f aca="false">IF(E188="Win",3,IF(E188="Draw",2,1))</f>
        <v>1</v>
      </c>
    </row>
    <row r="189" customFormat="false" ht="14.25" hidden="false" customHeight="false" outlineLevel="0" collapsed="false">
      <c r="A189" s="13" t="n">
        <f aca="false">'Match Results'!A48</f>
        <v>45946</v>
      </c>
      <c r="B189" s="13" t="str">
        <f aca="false">'Match Results'!B189</f>
        <v>Rising Court</v>
      </c>
      <c r="C189" s="13" t="n">
        <v>47</v>
      </c>
      <c r="D189" s="13" t="str">
        <f aca="false">'Match Results'!H48</f>
        <v>Roland</v>
      </c>
      <c r="E189" s="13" t="str">
        <f aca="false">IF('Match Results'!F48&gt;'Match Results'!E48,"Win",IF('Match Results'!E48='Match Results'!F48,"Draw","Loss"))</f>
        <v>Loss</v>
      </c>
      <c r="F189" s="13" t="n">
        <f aca="false">IF(E189="Win",3,IF(E189="Draw",2,1))</f>
        <v>1</v>
      </c>
    </row>
    <row r="190" customFormat="false" ht="14.25" hidden="false" customHeight="false" outlineLevel="0" collapsed="false">
      <c r="A190" s="13" t="n">
        <f aca="false">'Match Results'!A49</f>
        <v>45946</v>
      </c>
      <c r="B190" s="13" t="str">
        <f aca="false">'Match Results'!B190</f>
        <v>Rising Court</v>
      </c>
      <c r="C190" s="13" t="n">
        <v>48</v>
      </c>
      <c r="D190" s="13" t="str">
        <f aca="false">'Match Results'!C49</f>
        <v>Dana</v>
      </c>
      <c r="E190" s="13" t="str">
        <f aca="false">IF('Match Results'!E49&gt;'Match Results'!F49,"Win",IF('Match Results'!E49='Match Results'!F49,"Draw","Loss"))</f>
        <v>Win</v>
      </c>
      <c r="F190" s="13" t="n">
        <f aca="false">IF(E190="Win",3,IF(E190="Draw",2,1))</f>
        <v>3</v>
      </c>
    </row>
    <row r="191" customFormat="false" ht="14.25" hidden="false" customHeight="false" outlineLevel="0" collapsed="false">
      <c r="A191" s="13" t="n">
        <f aca="false">'Match Results'!A49</f>
        <v>45946</v>
      </c>
      <c r="B191" s="13" t="str">
        <f aca="false">'Match Results'!B191</f>
        <v>Rising Court</v>
      </c>
      <c r="C191" s="13" t="n">
        <v>48</v>
      </c>
      <c r="D191" s="13" t="str">
        <f aca="false">'Match Results'!D49</f>
        <v>Andreas</v>
      </c>
      <c r="E191" s="13" t="str">
        <f aca="false">IF('Match Results'!E49&gt;'Match Results'!F49,"Win",IF('Match Results'!E49='Match Results'!F49,"Draw","Loss"))</f>
        <v>Win</v>
      </c>
      <c r="F191" s="13" t="n">
        <f aca="false">IF(E191="Win",3,IF(E191="Draw",2,1))</f>
        <v>3</v>
      </c>
    </row>
    <row r="192" customFormat="false" ht="14.25" hidden="false" customHeight="false" outlineLevel="0" collapsed="false">
      <c r="A192" s="13" t="n">
        <f aca="false">'Match Results'!A49</f>
        <v>45946</v>
      </c>
      <c r="B192" s="13" t="str">
        <f aca="false">'Match Results'!B192</f>
        <v>Rising Court</v>
      </c>
      <c r="C192" s="13" t="n">
        <v>48</v>
      </c>
      <c r="D192" s="13" t="str">
        <f aca="false">'Match Results'!G49</f>
        <v>Natella</v>
      </c>
      <c r="E192" s="13" t="str">
        <f aca="false">IF('Match Results'!F49&gt;'Match Results'!E49,"Win",IF('Match Results'!E49='Match Results'!F49,"Draw","Loss"))</f>
        <v>Loss</v>
      </c>
      <c r="F192" s="13" t="n">
        <f aca="false">IF(E192="Win",3,IF(E192="Draw",2,1))</f>
        <v>1</v>
      </c>
    </row>
    <row r="193" customFormat="false" ht="14.25" hidden="false" customHeight="false" outlineLevel="0" collapsed="false">
      <c r="A193" s="13" t="n">
        <f aca="false">'Match Results'!A49</f>
        <v>45946</v>
      </c>
      <c r="B193" s="13" t="str">
        <f aca="false">'Match Results'!B193</f>
        <v>Rising Court</v>
      </c>
      <c r="C193" s="13" t="n">
        <v>48</v>
      </c>
      <c r="D193" s="13" t="str">
        <f aca="false">'Match Results'!H49</f>
        <v>Julio</v>
      </c>
      <c r="E193" s="13" t="str">
        <f aca="false">IF('Match Results'!F49&gt;'Match Results'!E49,"Win",IF('Match Results'!E49='Match Results'!F49,"Draw","Loss"))</f>
        <v>Loss</v>
      </c>
      <c r="F193" s="13" t="n">
        <f aca="false">IF(E193="Win",3,IF(E193="Draw",2,1))</f>
        <v>1</v>
      </c>
    </row>
    <row r="194" customFormat="false" ht="14.25" hidden="false" customHeight="false" outlineLevel="0" collapsed="false">
      <c r="A194" s="13" t="n">
        <f aca="false">'Match Results'!A50</f>
        <v>45946</v>
      </c>
      <c r="B194" s="13" t="n">
        <f aca="false">'Match Results'!B194</f>
        <v>0</v>
      </c>
      <c r="C194" s="13" t="n">
        <v>49</v>
      </c>
      <c r="D194" s="13" t="str">
        <f aca="false">'Match Results'!C50</f>
        <v>Hazem</v>
      </c>
      <c r="E194" s="13" t="str">
        <f aca="false">IF('Match Results'!E50&gt;'Match Results'!F50,"Win",IF('Match Results'!E50='Match Results'!F50,"Draw","Loss"))</f>
        <v>Win</v>
      </c>
      <c r="F194" s="13" t="n">
        <f aca="false">IF(E194="Win",3,IF(E194="Draw",2,1))</f>
        <v>3</v>
      </c>
    </row>
    <row r="195" customFormat="false" ht="14.25" hidden="false" customHeight="false" outlineLevel="0" collapsed="false">
      <c r="A195" s="13" t="n">
        <f aca="false">'Match Results'!A50</f>
        <v>45946</v>
      </c>
      <c r="B195" s="13" t="n">
        <f aca="false">'Match Results'!B195</f>
        <v>0</v>
      </c>
      <c r="C195" s="13" t="n">
        <v>49</v>
      </c>
      <c r="D195" s="13" t="str">
        <f aca="false">'Match Results'!D50</f>
        <v>Own </v>
      </c>
      <c r="E195" s="13" t="str">
        <f aca="false">IF('Match Results'!E50&gt;'Match Results'!F50,"Win",IF('Match Results'!E50='Match Results'!F50,"Draw","Loss"))</f>
        <v>Win</v>
      </c>
      <c r="F195" s="13" t="n">
        <f aca="false">IF(E195="Win",3,IF(E195="Draw",2,1))</f>
        <v>3</v>
      </c>
    </row>
    <row r="196" customFormat="false" ht="14.25" hidden="false" customHeight="false" outlineLevel="0" collapsed="false">
      <c r="A196" s="13" t="n">
        <f aca="false">'Match Results'!A50</f>
        <v>45946</v>
      </c>
      <c r="B196" s="13" t="n">
        <f aca="false">'Match Results'!B196</f>
        <v>0</v>
      </c>
      <c r="C196" s="13" t="n">
        <v>49</v>
      </c>
      <c r="D196" s="13" t="str">
        <f aca="false">'Match Results'!G50</f>
        <v>Caner</v>
      </c>
      <c r="E196" s="13" t="str">
        <f aca="false">IF('Match Results'!F50&gt;'Match Results'!E50,"Win",IF('Match Results'!E50='Match Results'!F50,"Draw","Loss"))</f>
        <v>Loss</v>
      </c>
      <c r="F196" s="13" t="n">
        <f aca="false">IF(E196="Win",3,IF(E196="Draw",2,1))</f>
        <v>1</v>
      </c>
    </row>
    <row r="197" customFormat="false" ht="14.25" hidden="false" customHeight="false" outlineLevel="0" collapsed="false">
      <c r="A197" s="13" t="n">
        <f aca="false">'Match Results'!A50</f>
        <v>45946</v>
      </c>
      <c r="B197" s="13" t="n">
        <f aca="false">'Match Results'!B197</f>
        <v>0</v>
      </c>
      <c r="C197" s="13" t="n">
        <v>49</v>
      </c>
      <c r="D197" s="13" t="str">
        <f aca="false">'Match Results'!H50</f>
        <v>Sharuk</v>
      </c>
      <c r="E197" s="13" t="str">
        <f aca="false">IF('Match Results'!F50&gt;'Match Results'!E50,"Win",IF('Match Results'!E50='Match Results'!F50,"Draw","Loss"))</f>
        <v>Loss</v>
      </c>
      <c r="F197" s="13" t="n">
        <f aca="false">IF(E197="Win",3,IF(E197="Draw",2,1))</f>
        <v>1</v>
      </c>
    </row>
    <row r="198" customFormat="false" ht="14.25" hidden="false" customHeight="false" outlineLevel="0" collapsed="false">
      <c r="A198" s="13" t="n">
        <f aca="false">'Match Results'!A51</f>
        <v>45946</v>
      </c>
      <c r="B198" s="13" t="n">
        <f aca="false">'Match Results'!B198</f>
        <v>0</v>
      </c>
      <c r="C198" s="13" t="n">
        <v>50</v>
      </c>
      <c r="D198" s="13" t="str">
        <f aca="false">'Match Results'!C51</f>
        <v>Ahmad DD </v>
      </c>
      <c r="E198" s="13" t="str">
        <f aca="false">IF('Match Results'!E51&gt;'Match Results'!F51,"Win",IF('Match Results'!E51='Match Results'!F51,"Draw","Loss"))</f>
        <v>Win</v>
      </c>
      <c r="F198" s="13" t="n">
        <f aca="false">IF(E198="Win",3,IF(E198="Draw",2,1))</f>
        <v>3</v>
      </c>
    </row>
    <row r="199" customFormat="false" ht="14.25" hidden="false" customHeight="false" outlineLevel="0" collapsed="false">
      <c r="A199" s="13" t="n">
        <f aca="false">'Match Results'!A51</f>
        <v>45946</v>
      </c>
      <c r="B199" s="13" t="n">
        <f aca="false">'Match Results'!B199</f>
        <v>0</v>
      </c>
      <c r="C199" s="13" t="n">
        <v>50</v>
      </c>
      <c r="D199" s="13" t="str">
        <f aca="false">'Match Results'!D51</f>
        <v>Renato</v>
      </c>
      <c r="E199" s="13" t="str">
        <f aca="false">IF('Match Results'!E51&gt;'Match Results'!F51,"Win",IF('Match Results'!E51='Match Results'!F51,"Draw","Loss"))</f>
        <v>Win</v>
      </c>
      <c r="F199" s="13" t="n">
        <f aca="false">IF(E199="Win",3,IF(E199="Draw",2,1))</f>
        <v>3</v>
      </c>
    </row>
    <row r="200" customFormat="false" ht="14.25" hidden="false" customHeight="false" outlineLevel="0" collapsed="false">
      <c r="A200" s="13" t="n">
        <f aca="false">'Match Results'!A51</f>
        <v>45946</v>
      </c>
      <c r="B200" s="13" t="n">
        <f aca="false">'Match Results'!B200</f>
        <v>0</v>
      </c>
      <c r="C200" s="13" t="n">
        <v>50</v>
      </c>
      <c r="D200" s="13" t="str">
        <f aca="false">'Match Results'!G51</f>
        <v>Joel</v>
      </c>
      <c r="E200" s="13" t="str">
        <f aca="false">IF('Match Results'!F51&gt;'Match Results'!E51,"Win",IF('Match Results'!E51='Match Results'!F51,"Draw","Loss"))</f>
        <v>Loss</v>
      </c>
      <c r="F200" s="13" t="n">
        <f aca="false">IF(E200="Win",3,IF(E200="Draw",2,1))</f>
        <v>1</v>
      </c>
    </row>
    <row r="201" customFormat="false" ht="14.25" hidden="false" customHeight="false" outlineLevel="0" collapsed="false">
      <c r="A201" s="13" t="n">
        <f aca="false">'Match Results'!A51</f>
        <v>45946</v>
      </c>
      <c r="B201" s="13" t="n">
        <f aca="false">'Match Results'!B201</f>
        <v>0</v>
      </c>
      <c r="C201" s="13" t="n">
        <v>50</v>
      </c>
      <c r="D201" s="13" t="str">
        <f aca="false">'Match Results'!H51</f>
        <v>Bruno</v>
      </c>
      <c r="E201" s="13" t="str">
        <f aca="false">IF('Match Results'!F51&gt;'Match Results'!E51,"Win",IF('Match Results'!E51='Match Results'!F51,"Draw","Loss"))</f>
        <v>Loss</v>
      </c>
      <c r="F201" s="13" t="n">
        <f aca="false">IF(E201="Win",3,IF(E201="Draw",2,1))</f>
        <v>1</v>
      </c>
    </row>
    <row r="202" customFormat="false" ht="14.25" hidden="false" customHeight="false" outlineLevel="0" collapsed="false">
      <c r="A202" s="13" t="n">
        <f aca="false">'Match Results'!A52</f>
        <v>45946</v>
      </c>
      <c r="B202" s="13" t="str">
        <f aca="false">'Match Results'!B202</f>
        <v>Power Court</v>
      </c>
      <c r="C202" s="13" t="n">
        <v>51</v>
      </c>
      <c r="D202" s="13" t="str">
        <f aca="false">'Match Results'!C52</f>
        <v>Dana</v>
      </c>
      <c r="E202" s="13" t="str">
        <f aca="false">IF('Match Results'!E52&gt;'Match Results'!F52,"Win",IF('Match Results'!E52='Match Results'!F52,"Draw","Loss"))</f>
        <v>Win</v>
      </c>
      <c r="F202" s="13" t="n">
        <f aca="false">IF(E202="Win",3,IF(E202="Draw",2,1))</f>
        <v>3</v>
      </c>
    </row>
    <row r="203" customFormat="false" ht="14.25" hidden="false" customHeight="false" outlineLevel="0" collapsed="false">
      <c r="A203" s="13" t="n">
        <f aca="false">'Match Results'!A52</f>
        <v>45946</v>
      </c>
      <c r="B203" s="13" t="str">
        <f aca="false">'Match Results'!B203</f>
        <v>Power Court</v>
      </c>
      <c r="C203" s="13" t="n">
        <v>51</v>
      </c>
      <c r="D203" s="13" t="str">
        <f aca="false">'Match Results'!D52</f>
        <v>Caner</v>
      </c>
      <c r="E203" s="13" t="str">
        <f aca="false">IF('Match Results'!E52&gt;'Match Results'!F52,"Win",IF('Match Results'!E52='Match Results'!F52,"Draw","Loss"))</f>
        <v>Win</v>
      </c>
      <c r="F203" s="13" t="n">
        <f aca="false">IF(E203="Win",3,IF(E203="Draw",2,1))</f>
        <v>3</v>
      </c>
    </row>
    <row r="204" customFormat="false" ht="14.25" hidden="false" customHeight="false" outlineLevel="0" collapsed="false">
      <c r="A204" s="13" t="n">
        <f aca="false">'Match Results'!A52</f>
        <v>45946</v>
      </c>
      <c r="B204" s="13" t="str">
        <f aca="false">'Match Results'!B204</f>
        <v>Power Court</v>
      </c>
      <c r="C204" s="13" t="n">
        <v>51</v>
      </c>
      <c r="D204" s="13" t="str">
        <f aca="false">'Match Results'!G52</f>
        <v>Natalya</v>
      </c>
      <c r="E204" s="13" t="str">
        <f aca="false">IF('Match Results'!F52&gt;'Match Results'!E52,"Win",IF('Match Results'!E52='Match Results'!F52,"Draw","Loss"))</f>
        <v>Loss</v>
      </c>
      <c r="F204" s="13" t="n">
        <f aca="false">IF(E204="Win",3,IF(E204="Draw",2,1))</f>
        <v>1</v>
      </c>
    </row>
    <row r="205" customFormat="false" ht="14.25" hidden="false" customHeight="false" outlineLevel="0" collapsed="false">
      <c r="A205" s="13" t="n">
        <f aca="false">'Match Results'!A52</f>
        <v>45946</v>
      </c>
      <c r="B205" s="13" t="str">
        <f aca="false">'Match Results'!B205</f>
        <v>Power Court</v>
      </c>
      <c r="C205" s="13" t="n">
        <v>51</v>
      </c>
      <c r="D205" s="13" t="str">
        <f aca="false">'Match Results'!H52</f>
        <v>Sharuk</v>
      </c>
      <c r="E205" s="13" t="str">
        <f aca="false">IF('Match Results'!F52&gt;'Match Results'!E52,"Win",IF('Match Results'!E52='Match Results'!F52,"Draw","Loss"))</f>
        <v>Loss</v>
      </c>
      <c r="F205" s="13" t="n">
        <f aca="false">IF(E205="Win",3,IF(E205="Draw",2,1))</f>
        <v>1</v>
      </c>
    </row>
    <row r="206" customFormat="false" ht="14.25" hidden="false" customHeight="false" outlineLevel="0" collapsed="false">
      <c r="A206" s="13" t="n">
        <f aca="false">'Match Results'!A53</f>
        <v>45946</v>
      </c>
      <c r="B206" s="13" t="str">
        <f aca="false">'Match Results'!B206</f>
        <v>Power Court</v>
      </c>
      <c r="C206" s="13" t="n">
        <v>52</v>
      </c>
      <c r="D206" s="13" t="str">
        <f aca="false">'Match Results'!C53</f>
        <v>Thomas</v>
      </c>
      <c r="E206" s="13" t="str">
        <f aca="false">IF('Match Results'!E53&gt;'Match Results'!F53,"Win",IF('Match Results'!E53='Match Results'!F53,"Draw","Loss"))</f>
        <v>Win</v>
      </c>
      <c r="F206" s="13" t="n">
        <f aca="false">IF(E206="Win",3,IF(E206="Draw",2,1))</f>
        <v>3</v>
      </c>
    </row>
    <row r="207" customFormat="false" ht="14.25" hidden="false" customHeight="false" outlineLevel="0" collapsed="false">
      <c r="A207" s="13" t="n">
        <f aca="false">'Match Results'!A53</f>
        <v>45946</v>
      </c>
      <c r="B207" s="13" t="str">
        <f aca="false">'Match Results'!B207</f>
        <v>Power Court</v>
      </c>
      <c r="C207" s="13" t="n">
        <v>52</v>
      </c>
      <c r="D207" s="13" t="str">
        <f aca="false">'Match Results'!D53</f>
        <v>Andreas</v>
      </c>
      <c r="E207" s="13" t="str">
        <f aca="false">IF('Match Results'!E53&gt;'Match Results'!F53,"Win",IF('Match Results'!E53='Match Results'!F53,"Draw","Loss"))</f>
        <v>Win</v>
      </c>
      <c r="F207" s="13" t="n">
        <f aca="false">IF(E207="Win",3,IF(E207="Draw",2,1))</f>
        <v>3</v>
      </c>
    </row>
    <row r="208" customFormat="false" ht="14.25" hidden="false" customHeight="false" outlineLevel="0" collapsed="false">
      <c r="A208" s="13" t="n">
        <f aca="false">'Match Results'!A53</f>
        <v>45946</v>
      </c>
      <c r="B208" s="13" t="str">
        <f aca="false">'Match Results'!B208</f>
        <v>Rising Court</v>
      </c>
      <c r="C208" s="13" t="n">
        <v>52</v>
      </c>
      <c r="D208" s="13" t="str">
        <f aca="false">'Match Results'!G53</f>
        <v>Matthias</v>
      </c>
      <c r="E208" s="13" t="str">
        <f aca="false">IF('Match Results'!F53&gt;'Match Results'!E53,"Win",IF('Match Results'!E53='Match Results'!F53,"Draw","Loss"))</f>
        <v>Loss</v>
      </c>
      <c r="F208" s="13" t="n">
        <f aca="false">IF(E208="Win",3,IF(E208="Draw",2,1))</f>
        <v>1</v>
      </c>
    </row>
    <row r="209" customFormat="false" ht="14.25" hidden="false" customHeight="false" outlineLevel="0" collapsed="false">
      <c r="A209" s="13" t="n">
        <f aca="false">'Match Results'!A53</f>
        <v>45946</v>
      </c>
      <c r="B209" s="13" t="str">
        <f aca="false">'Match Results'!B209</f>
        <v>Rising Court</v>
      </c>
      <c r="C209" s="13" t="n">
        <v>52</v>
      </c>
      <c r="D209" s="13" t="str">
        <f aca="false">'Match Results'!H53</f>
        <v>Natella</v>
      </c>
      <c r="E209" s="13" t="str">
        <f aca="false">IF('Match Results'!F53&gt;'Match Results'!E53,"Win",IF('Match Results'!E53='Match Results'!F53,"Draw","Loss"))</f>
        <v>Loss</v>
      </c>
      <c r="F209" s="13" t="n">
        <f aca="false">IF(E209="Win",3,IF(E209="Draw",2,1))</f>
        <v>1</v>
      </c>
    </row>
    <row r="210" customFormat="false" ht="14.25" hidden="false" customHeight="false" outlineLevel="0" collapsed="false">
      <c r="A210" s="13" t="n">
        <f aca="false">'Match Results'!A54</f>
        <v>45946</v>
      </c>
      <c r="B210" s="13" t="str">
        <f aca="false">'Match Results'!B210</f>
        <v>Rising Court</v>
      </c>
      <c r="C210" s="13" t="n">
        <v>53</v>
      </c>
      <c r="D210" s="13" t="str">
        <f aca="false">'Match Results'!C54</f>
        <v>Dauren</v>
      </c>
      <c r="E210" s="13" t="str">
        <f aca="false">IF('Match Results'!E54&gt;'Match Results'!F54,"Win",IF('Match Results'!E54='Match Results'!F54,"Draw","Loss"))</f>
        <v>Win</v>
      </c>
      <c r="F210" s="13" t="n">
        <f aca="false">IF(E210="Win",3,IF(E210="Draw",2,1))</f>
        <v>3</v>
      </c>
    </row>
    <row r="211" customFormat="false" ht="14.25" hidden="false" customHeight="false" outlineLevel="0" collapsed="false">
      <c r="A211" s="13" t="n">
        <f aca="false">'Match Results'!A54</f>
        <v>45946</v>
      </c>
      <c r="B211" s="13" t="str">
        <f aca="false">'Match Results'!B211</f>
        <v>Rising Court</v>
      </c>
      <c r="C211" s="13" t="n">
        <v>53</v>
      </c>
      <c r="D211" s="13" t="str">
        <f aca="false">'Match Results'!D54</f>
        <v>Roland</v>
      </c>
      <c r="E211" s="13" t="str">
        <f aca="false">IF('Match Results'!E54&gt;'Match Results'!F54,"Win",IF('Match Results'!E54='Match Results'!F54,"Draw","Loss"))</f>
        <v>Win</v>
      </c>
      <c r="F211" s="13" t="n">
        <f aca="false">IF(E211="Win",3,IF(E211="Draw",2,1))</f>
        <v>3</v>
      </c>
    </row>
    <row r="212" customFormat="false" ht="14.25" hidden="false" customHeight="false" outlineLevel="0" collapsed="false">
      <c r="A212" s="13" t="n">
        <f aca="false">'Match Results'!A54</f>
        <v>45946</v>
      </c>
      <c r="B212" s="13" t="str">
        <f aca="false">'Match Results'!B212</f>
        <v>Rising Court</v>
      </c>
      <c r="C212" s="13" t="n">
        <v>53</v>
      </c>
      <c r="D212" s="13" t="str">
        <f aca="false">'Match Results'!G54</f>
        <v>Amit</v>
      </c>
      <c r="E212" s="13" t="str">
        <f aca="false">IF('Match Results'!F54&gt;'Match Results'!E54,"Win",IF('Match Results'!E54='Match Results'!F54,"Draw","Loss"))</f>
        <v>Loss</v>
      </c>
      <c r="F212" s="13" t="n">
        <f aca="false">IF(E212="Win",3,IF(E212="Draw",2,1))</f>
        <v>1</v>
      </c>
    </row>
    <row r="213" customFormat="false" ht="14.25" hidden="false" customHeight="false" outlineLevel="0" collapsed="false">
      <c r="A213" s="13" t="n">
        <f aca="false">'Match Results'!A54</f>
        <v>45946</v>
      </c>
      <c r="B213" s="13" t="str">
        <f aca="false">'Match Results'!B213</f>
        <v>Rising Court</v>
      </c>
      <c r="C213" s="13" t="n">
        <v>53</v>
      </c>
      <c r="D213" s="13" t="str">
        <f aca="false">'Match Results'!H54</f>
        <v>Julio</v>
      </c>
      <c r="E213" s="13" t="str">
        <f aca="false">IF('Match Results'!F54&gt;'Match Results'!E54,"Win",IF('Match Results'!E54='Match Results'!F54,"Draw","Loss"))</f>
        <v>Loss</v>
      </c>
      <c r="F213" s="13" t="n">
        <f aca="false">IF(E213="Win",3,IF(E213="Draw",2,1))</f>
        <v>1</v>
      </c>
    </row>
    <row r="214" customFormat="false" ht="14.25" hidden="false" customHeight="false" outlineLevel="0" collapsed="false">
      <c r="A214" s="13" t="n">
        <f aca="false">'Match Results'!A55</f>
        <v>45946</v>
      </c>
      <c r="B214" s="13" t="n">
        <f aca="false">'Match Results'!B214</f>
        <v>0</v>
      </c>
      <c r="C214" s="13" t="n">
        <v>54</v>
      </c>
      <c r="D214" s="13" t="str">
        <f aca="false">'Match Results'!C55</f>
        <v>Caner</v>
      </c>
      <c r="E214" s="13" t="str">
        <f aca="false">IF('Match Results'!E55&gt;'Match Results'!F55,"Win",IF('Match Results'!E55='Match Results'!F55,"Draw","Loss"))</f>
        <v>Win</v>
      </c>
      <c r="F214" s="13" t="n">
        <f aca="false">IF(E214="Win",3,IF(E214="Draw",2,1))</f>
        <v>3</v>
      </c>
    </row>
    <row r="215" customFormat="false" ht="14.25" hidden="false" customHeight="false" outlineLevel="0" collapsed="false">
      <c r="A215" s="13" t="n">
        <f aca="false">'Match Results'!A55</f>
        <v>45946</v>
      </c>
      <c r="B215" s="13" t="n">
        <f aca="false">'Match Results'!B215</f>
        <v>0</v>
      </c>
      <c r="C215" s="13" t="n">
        <v>54</v>
      </c>
      <c r="D215" s="13" t="str">
        <f aca="false">'Match Results'!D55</f>
        <v>Own </v>
      </c>
      <c r="E215" s="13" t="str">
        <f aca="false">IF('Match Results'!E55&gt;'Match Results'!F55,"Win",IF('Match Results'!E55='Match Results'!F55,"Draw","Loss"))</f>
        <v>Win</v>
      </c>
      <c r="F215" s="13" t="n">
        <f aca="false">IF(E215="Win",3,IF(E215="Draw",2,1))</f>
        <v>3</v>
      </c>
    </row>
    <row r="216" customFormat="false" ht="14.25" hidden="false" customHeight="false" outlineLevel="0" collapsed="false">
      <c r="A216" s="13" t="n">
        <f aca="false">'Match Results'!A55</f>
        <v>45946</v>
      </c>
      <c r="B216" s="13" t="n">
        <f aca="false">'Match Results'!B216</f>
        <v>0</v>
      </c>
      <c r="C216" s="13" t="n">
        <v>54</v>
      </c>
      <c r="D216" s="13" t="str">
        <f aca="false">'Match Results'!G55</f>
        <v>Amit</v>
      </c>
      <c r="E216" s="13" t="str">
        <f aca="false">IF('Match Results'!F55&gt;'Match Results'!E55,"Win",IF('Match Results'!E55='Match Results'!F55,"Draw","Loss"))</f>
        <v>Loss</v>
      </c>
      <c r="F216" s="13" t="n">
        <f aca="false">IF(E216="Win",3,IF(E216="Draw",2,1))</f>
        <v>1</v>
      </c>
    </row>
    <row r="217" customFormat="false" ht="14.25" hidden="false" customHeight="false" outlineLevel="0" collapsed="false">
      <c r="A217" s="13" t="n">
        <f aca="false">'Match Results'!A55</f>
        <v>45946</v>
      </c>
      <c r="B217" s="13" t="n">
        <f aca="false">'Match Results'!B217</f>
        <v>0</v>
      </c>
      <c r="C217" s="13" t="n">
        <v>54</v>
      </c>
      <c r="D217" s="13" t="str">
        <f aca="false">'Match Results'!H55</f>
        <v>Hazem</v>
      </c>
      <c r="E217" s="13" t="str">
        <f aca="false">IF('Match Results'!F55&gt;'Match Results'!E55,"Win",IF('Match Results'!E55='Match Results'!F55,"Draw","Loss"))</f>
        <v>Loss</v>
      </c>
      <c r="F217" s="13" t="n">
        <f aca="false">IF(E217="Win",3,IF(E217="Draw",2,1))</f>
        <v>1</v>
      </c>
    </row>
    <row r="218" customFormat="false" ht="14.25" hidden="false" customHeight="false" outlineLevel="0" collapsed="false">
      <c r="A218" s="13" t="n">
        <f aca="false">'Match Results'!A56</f>
        <v>45946</v>
      </c>
      <c r="B218" s="13" t="n">
        <f aca="false">'Match Results'!B218</f>
        <v>0</v>
      </c>
      <c r="C218" s="13" t="n">
        <v>55</v>
      </c>
      <c r="D218" s="13" t="str">
        <f aca="false">'Match Results'!C56</f>
        <v>Ahmad DD </v>
      </c>
      <c r="E218" s="13" t="str">
        <f aca="false">IF('Match Results'!E56&gt;'Match Results'!F56,"Win",IF('Match Results'!E56='Match Results'!F56,"Draw","Loss"))</f>
        <v>Win</v>
      </c>
      <c r="F218" s="13" t="n">
        <f aca="false">IF(E218="Win",3,IF(E218="Draw",2,1))</f>
        <v>3</v>
      </c>
    </row>
    <row r="219" customFormat="false" ht="14.25" hidden="false" customHeight="false" outlineLevel="0" collapsed="false">
      <c r="A219" s="13" t="n">
        <f aca="false">'Match Results'!A56</f>
        <v>45946</v>
      </c>
      <c r="B219" s="13" t="n">
        <f aca="false">'Match Results'!B219</f>
        <v>0</v>
      </c>
      <c r="C219" s="13" t="n">
        <v>55</v>
      </c>
      <c r="D219" s="13" t="str">
        <f aca="false">'Match Results'!D56</f>
        <v>Renato</v>
      </c>
      <c r="E219" s="13" t="str">
        <f aca="false">IF('Match Results'!E56&gt;'Match Results'!F56,"Win",IF('Match Results'!E56='Match Results'!F56,"Draw","Loss"))</f>
        <v>Win</v>
      </c>
      <c r="F219" s="13" t="n">
        <f aca="false">IF(E219="Win",3,IF(E219="Draw",2,1))</f>
        <v>3</v>
      </c>
    </row>
    <row r="220" customFormat="false" ht="14.25" hidden="false" customHeight="false" outlineLevel="0" collapsed="false">
      <c r="A220" s="13" t="n">
        <f aca="false">'Match Results'!A56</f>
        <v>45946</v>
      </c>
      <c r="B220" s="13" t="n">
        <f aca="false">'Match Results'!B220</f>
        <v>0</v>
      </c>
      <c r="C220" s="13" t="n">
        <v>55</v>
      </c>
      <c r="D220" s="13" t="str">
        <f aca="false">'Match Results'!G56</f>
        <v>Andreas</v>
      </c>
      <c r="E220" s="13" t="str">
        <f aca="false">IF('Match Results'!F56&gt;'Match Results'!E56,"Win",IF('Match Results'!E56='Match Results'!F56,"Draw","Loss"))</f>
        <v>Loss</v>
      </c>
      <c r="F220" s="13" t="n">
        <f aca="false">IF(E220="Win",3,IF(E220="Draw",2,1))</f>
        <v>1</v>
      </c>
    </row>
    <row r="221" customFormat="false" ht="14.25" hidden="false" customHeight="false" outlineLevel="0" collapsed="false">
      <c r="A221" s="13" t="n">
        <f aca="false">'Match Results'!A56</f>
        <v>45946</v>
      </c>
      <c r="B221" s="13" t="n">
        <f aca="false">'Match Results'!B221</f>
        <v>0</v>
      </c>
      <c r="C221" s="13" t="n">
        <v>55</v>
      </c>
      <c r="D221" s="13" t="str">
        <f aca="false">'Match Results'!H56</f>
        <v>Thomas</v>
      </c>
      <c r="E221" s="13" t="str">
        <f aca="false">IF('Match Results'!F56&gt;'Match Results'!E56,"Win",IF('Match Results'!E56='Match Results'!F56,"Draw","Loss"))</f>
        <v>Loss</v>
      </c>
      <c r="F221" s="13" t="n">
        <f aca="false">IF(E221="Win",3,IF(E221="Draw",2,1))</f>
        <v>1</v>
      </c>
    </row>
    <row r="222" customFormat="false" ht="14.25" hidden="false" customHeight="false" outlineLevel="0" collapsed="false">
      <c r="A222" s="13" t="n">
        <f aca="false">'Match Results'!A57</f>
        <v>45946</v>
      </c>
      <c r="B222" s="13" t="str">
        <f aca="false">'Match Results'!B222</f>
        <v>Power Court</v>
      </c>
      <c r="C222" s="13" t="n">
        <v>56</v>
      </c>
      <c r="D222" s="13" t="n">
        <f aca="false">'Match Results'!C57</f>
        <v>0</v>
      </c>
      <c r="E222" s="13" t="str">
        <f aca="false">IF('Match Results'!E57&gt;'Match Results'!F57,"Win",IF('Match Results'!E57='Match Results'!F57,"Draw","Loss"))</f>
        <v>Draw</v>
      </c>
      <c r="F222" s="13" t="n">
        <f aca="false">IF(E222="Win",3,IF(E222="Draw",2,1))</f>
        <v>2</v>
      </c>
    </row>
    <row r="223" customFormat="false" ht="14.25" hidden="false" customHeight="false" outlineLevel="0" collapsed="false">
      <c r="A223" s="13" t="n">
        <f aca="false">'Match Results'!A57</f>
        <v>45946</v>
      </c>
      <c r="B223" s="13" t="str">
        <f aca="false">'Match Results'!B223</f>
        <v>Power Court</v>
      </c>
      <c r="C223" s="13" t="n">
        <v>56</v>
      </c>
      <c r="D223" s="13" t="n">
        <f aca="false">'Match Results'!D57</f>
        <v>0</v>
      </c>
      <c r="E223" s="13" t="str">
        <f aca="false">IF('Match Results'!E57&gt;'Match Results'!F57,"Win",IF('Match Results'!E57='Match Results'!F57,"Draw","Loss"))</f>
        <v>Draw</v>
      </c>
      <c r="F223" s="13" t="n">
        <f aca="false">IF(E223="Win",3,IF(E223="Draw",2,1))</f>
        <v>2</v>
      </c>
    </row>
    <row r="224" customFormat="false" ht="14.25" hidden="false" customHeight="false" outlineLevel="0" collapsed="false">
      <c r="A224" s="13" t="n">
        <f aca="false">'Match Results'!A57</f>
        <v>45946</v>
      </c>
      <c r="B224" s="13" t="str">
        <f aca="false">'Match Results'!B224</f>
        <v>Power Court</v>
      </c>
      <c r="C224" s="13" t="n">
        <v>56</v>
      </c>
      <c r="D224" s="13" t="n">
        <f aca="false">'Match Results'!G57</f>
        <v>0</v>
      </c>
      <c r="E224" s="13" t="str">
        <f aca="false">IF('Match Results'!F57&gt;'Match Results'!E57,"Win",IF('Match Results'!E57='Match Results'!F57,"Draw","Loss"))</f>
        <v>Draw</v>
      </c>
      <c r="F224" s="13" t="n">
        <f aca="false">IF(E224="Win",3,IF(E224="Draw",2,1))</f>
        <v>2</v>
      </c>
    </row>
    <row r="225" customFormat="false" ht="14.25" hidden="false" customHeight="false" outlineLevel="0" collapsed="false">
      <c r="A225" s="13" t="n">
        <f aca="false">'Match Results'!A57</f>
        <v>45946</v>
      </c>
      <c r="B225" s="13" t="str">
        <f aca="false">'Match Results'!B225</f>
        <v>Power Court</v>
      </c>
      <c r="C225" s="13" t="n">
        <v>56</v>
      </c>
      <c r="D225" s="13" t="n">
        <f aca="false">'Match Results'!H57</f>
        <v>0</v>
      </c>
      <c r="E225" s="13" t="str">
        <f aca="false">IF('Match Results'!F57&gt;'Match Results'!E57,"Win",IF('Match Results'!E57='Match Results'!F57,"Draw","Loss"))</f>
        <v>Draw</v>
      </c>
      <c r="F225" s="13" t="n">
        <f aca="false">IF(E225="Win",3,IF(E225="Draw",2,1))</f>
        <v>2</v>
      </c>
    </row>
    <row r="226" customFormat="false" ht="14.25" hidden="false" customHeight="false" outlineLevel="0" collapsed="false">
      <c r="A226" s="13" t="n">
        <f aca="false">'Match Results'!A58</f>
        <v>45946</v>
      </c>
      <c r="B226" s="13" t="str">
        <f aca="false">'Match Results'!B226</f>
        <v>Power Court</v>
      </c>
      <c r="C226" s="13" t="n">
        <v>57</v>
      </c>
      <c r="D226" s="13" t="n">
        <f aca="false">'Match Results'!C58</f>
        <v>0</v>
      </c>
      <c r="E226" s="13" t="str">
        <f aca="false">IF('Match Results'!E58&gt;'Match Results'!F58,"Win",IF('Match Results'!E58='Match Results'!F58,"Draw","Loss"))</f>
        <v>Draw</v>
      </c>
      <c r="F226" s="13" t="n">
        <f aca="false">IF(E226="Win",3,IF(E226="Draw",2,1))</f>
        <v>2</v>
      </c>
    </row>
    <row r="227" customFormat="false" ht="14.25" hidden="false" customHeight="false" outlineLevel="0" collapsed="false">
      <c r="A227" s="13" t="n">
        <f aca="false">'Match Results'!A58</f>
        <v>45946</v>
      </c>
      <c r="B227" s="13" t="str">
        <f aca="false">'Match Results'!B227</f>
        <v>Power Court</v>
      </c>
      <c r="C227" s="13" t="n">
        <v>57</v>
      </c>
      <c r="D227" s="13" t="n">
        <f aca="false">'Match Results'!D58</f>
        <v>0</v>
      </c>
      <c r="E227" s="13" t="str">
        <f aca="false">IF('Match Results'!E58&gt;'Match Results'!F58,"Win",IF('Match Results'!E58='Match Results'!F58,"Draw","Loss"))</f>
        <v>Draw</v>
      </c>
      <c r="F227" s="13" t="n">
        <f aca="false">IF(E227="Win",3,IF(E227="Draw",2,1))</f>
        <v>2</v>
      </c>
    </row>
    <row r="228" customFormat="false" ht="14.25" hidden="false" customHeight="false" outlineLevel="0" collapsed="false">
      <c r="A228" s="13" t="n">
        <f aca="false">'Match Results'!A58</f>
        <v>45946</v>
      </c>
      <c r="B228" s="13" t="str">
        <f aca="false">'Match Results'!B228</f>
        <v>Rising Court</v>
      </c>
      <c r="C228" s="13" t="n">
        <v>57</v>
      </c>
      <c r="D228" s="13" t="n">
        <f aca="false">'Match Results'!G58</f>
        <v>0</v>
      </c>
      <c r="E228" s="13" t="str">
        <f aca="false">IF('Match Results'!F58&gt;'Match Results'!E58,"Win",IF('Match Results'!E58='Match Results'!F58,"Draw","Loss"))</f>
        <v>Draw</v>
      </c>
      <c r="F228" s="13" t="n">
        <f aca="false">IF(E228="Win",3,IF(E228="Draw",2,1))</f>
        <v>2</v>
      </c>
    </row>
    <row r="229" customFormat="false" ht="14.25" hidden="false" customHeight="false" outlineLevel="0" collapsed="false">
      <c r="A229" s="13" t="n">
        <f aca="false">'Match Results'!A58</f>
        <v>45946</v>
      </c>
      <c r="B229" s="13" t="str">
        <f aca="false">'Match Results'!B229</f>
        <v>Rising Court</v>
      </c>
      <c r="C229" s="13" t="n">
        <v>57</v>
      </c>
      <c r="D229" s="13" t="n">
        <f aca="false">'Match Results'!H58</f>
        <v>0</v>
      </c>
      <c r="E229" s="13" t="str">
        <f aca="false">IF('Match Results'!F58&gt;'Match Results'!E58,"Win",IF('Match Results'!E58='Match Results'!F58,"Draw","Loss"))</f>
        <v>Draw</v>
      </c>
      <c r="F229" s="13" t="n">
        <f aca="false">IF(E229="Win",3,IF(E229="Draw",2,1))</f>
        <v>2</v>
      </c>
    </row>
    <row r="230" customFormat="false" ht="14.25" hidden="false" customHeight="false" outlineLevel="0" collapsed="false">
      <c r="A230" s="13" t="n">
        <f aca="false">'Match Results'!A59</f>
        <v>45946</v>
      </c>
      <c r="B230" s="13" t="str">
        <f aca="false">'Match Results'!B230</f>
        <v>Rising Court</v>
      </c>
      <c r="C230" s="13" t="n">
        <v>58</v>
      </c>
      <c r="D230" s="13" t="n">
        <f aca="false">'Match Results'!C59</f>
        <v>0</v>
      </c>
      <c r="E230" s="13" t="str">
        <f aca="false">IF('Match Results'!E59&gt;'Match Results'!F59,"Win",IF('Match Results'!E59='Match Results'!F59,"Draw","Loss"))</f>
        <v>Draw</v>
      </c>
      <c r="F230" s="13" t="n">
        <f aca="false">IF(E230="Win",3,IF(E230="Draw",2,1))</f>
        <v>2</v>
      </c>
    </row>
    <row r="231" customFormat="false" ht="14.25" hidden="false" customHeight="false" outlineLevel="0" collapsed="false">
      <c r="A231" s="13" t="n">
        <f aca="false">'Match Results'!A59</f>
        <v>45946</v>
      </c>
      <c r="B231" s="13" t="str">
        <f aca="false">'Match Results'!B231</f>
        <v>Rising Court</v>
      </c>
      <c r="C231" s="13" t="n">
        <v>58</v>
      </c>
      <c r="D231" s="13" t="n">
        <f aca="false">'Match Results'!D59</f>
        <v>0</v>
      </c>
      <c r="E231" s="13" t="str">
        <f aca="false">IF('Match Results'!E59&gt;'Match Results'!F59,"Win",IF('Match Results'!E59='Match Results'!F59,"Draw","Loss"))</f>
        <v>Draw</v>
      </c>
      <c r="F231" s="13" t="n">
        <f aca="false">IF(E231="Win",3,IF(E231="Draw",2,1))</f>
        <v>2</v>
      </c>
    </row>
    <row r="232" customFormat="false" ht="14.25" hidden="false" customHeight="false" outlineLevel="0" collapsed="false">
      <c r="A232" s="13" t="n">
        <f aca="false">'Match Results'!A59</f>
        <v>45946</v>
      </c>
      <c r="B232" s="13" t="str">
        <f aca="false">'Match Results'!B232</f>
        <v>Rising Court</v>
      </c>
      <c r="C232" s="13" t="n">
        <v>58</v>
      </c>
      <c r="D232" s="13" t="n">
        <f aca="false">'Match Results'!G59</f>
        <v>0</v>
      </c>
      <c r="E232" s="13" t="str">
        <f aca="false">IF('Match Results'!F59&gt;'Match Results'!E59,"Win",IF('Match Results'!E59='Match Results'!F59,"Draw","Loss"))</f>
        <v>Draw</v>
      </c>
      <c r="F232" s="13" t="n">
        <f aca="false">IF(E232="Win",3,IF(E232="Draw",2,1))</f>
        <v>2</v>
      </c>
    </row>
    <row r="233" customFormat="false" ht="14.25" hidden="false" customHeight="false" outlineLevel="0" collapsed="false">
      <c r="A233" s="13" t="n">
        <f aca="false">'Match Results'!A59</f>
        <v>45946</v>
      </c>
      <c r="B233" s="13" t="str">
        <f aca="false">'Match Results'!B233</f>
        <v>Rising Court</v>
      </c>
      <c r="C233" s="13" t="n">
        <v>58</v>
      </c>
      <c r="D233" s="13" t="n">
        <f aca="false">'Match Results'!H59</f>
        <v>0</v>
      </c>
      <c r="E233" s="13" t="str">
        <f aca="false">IF('Match Results'!F59&gt;'Match Results'!E59,"Win",IF('Match Results'!E59='Match Results'!F59,"Draw","Loss"))</f>
        <v>Draw</v>
      </c>
      <c r="F233" s="13" t="n">
        <f aca="false">IF(E233="Win",3,IF(E233="Draw",2,1))</f>
        <v>2</v>
      </c>
    </row>
    <row r="234" customFormat="false" ht="14.25" hidden="false" customHeight="false" outlineLevel="0" collapsed="false">
      <c r="A234" s="13" t="n">
        <f aca="false">'Match Results'!A60</f>
        <v>45946</v>
      </c>
      <c r="B234" s="13" t="n">
        <f aca="false">'Match Results'!B234</f>
        <v>0</v>
      </c>
      <c r="C234" s="13" t="n">
        <v>59</v>
      </c>
      <c r="D234" s="13" t="n">
        <f aca="false">'Match Results'!C60</f>
        <v>0</v>
      </c>
      <c r="E234" s="13" t="str">
        <f aca="false">IF('Match Results'!E60&gt;'Match Results'!F60,"Win",IF('Match Results'!E60='Match Results'!F60,"Draw","Loss"))</f>
        <v>Draw</v>
      </c>
      <c r="F234" s="13" t="n">
        <f aca="false">IF(E234="Win",3,IF(E234="Draw",2,1))</f>
        <v>2</v>
      </c>
    </row>
    <row r="235" customFormat="false" ht="14.25" hidden="false" customHeight="false" outlineLevel="0" collapsed="false">
      <c r="A235" s="13" t="n">
        <f aca="false">'Match Results'!A60</f>
        <v>45946</v>
      </c>
      <c r="B235" s="13" t="n">
        <f aca="false">'Match Results'!B235</f>
        <v>0</v>
      </c>
      <c r="C235" s="13" t="n">
        <v>59</v>
      </c>
      <c r="D235" s="13" t="n">
        <f aca="false">'Match Results'!D60</f>
        <v>0</v>
      </c>
      <c r="E235" s="13" t="str">
        <f aca="false">IF('Match Results'!E60&gt;'Match Results'!F60,"Win",IF('Match Results'!E60='Match Results'!F60,"Draw","Loss"))</f>
        <v>Draw</v>
      </c>
      <c r="F235" s="13" t="n">
        <f aca="false">IF(E235="Win",3,IF(E235="Draw",2,1))</f>
        <v>2</v>
      </c>
    </row>
    <row r="236" customFormat="false" ht="14.25" hidden="false" customHeight="false" outlineLevel="0" collapsed="false">
      <c r="A236" s="13" t="n">
        <f aca="false">'Match Results'!A60</f>
        <v>45946</v>
      </c>
      <c r="B236" s="13" t="n">
        <f aca="false">'Match Results'!B236</f>
        <v>0</v>
      </c>
      <c r="C236" s="13" t="n">
        <v>59</v>
      </c>
      <c r="D236" s="13" t="n">
        <f aca="false">'Match Results'!G60</f>
        <v>0</v>
      </c>
      <c r="E236" s="13" t="str">
        <f aca="false">IF('Match Results'!F60&gt;'Match Results'!E60,"Win",IF('Match Results'!E60='Match Results'!F60,"Draw","Loss"))</f>
        <v>Draw</v>
      </c>
      <c r="F236" s="13" t="n">
        <f aca="false">IF(E236="Win",3,IF(E236="Draw",2,1))</f>
        <v>2</v>
      </c>
    </row>
    <row r="237" customFormat="false" ht="14.25" hidden="false" customHeight="false" outlineLevel="0" collapsed="false">
      <c r="A237" s="13" t="n">
        <f aca="false">'Match Results'!A60</f>
        <v>45946</v>
      </c>
      <c r="B237" s="13" t="n">
        <f aca="false">'Match Results'!B237</f>
        <v>0</v>
      </c>
      <c r="C237" s="13" t="n">
        <v>59</v>
      </c>
      <c r="D237" s="13" t="n">
        <f aca="false">'Match Results'!H60</f>
        <v>0</v>
      </c>
      <c r="E237" s="13" t="str">
        <f aca="false">IF('Match Results'!F60&gt;'Match Results'!E60,"Win",IF('Match Results'!E60='Match Results'!F60,"Draw","Loss"))</f>
        <v>Draw</v>
      </c>
      <c r="F237" s="13" t="n">
        <f aca="false">IF(E237="Win",3,IF(E237="Draw",2,1))</f>
        <v>2</v>
      </c>
    </row>
    <row r="238" customFormat="false" ht="14.25" hidden="false" customHeight="false" outlineLevel="0" collapsed="false">
      <c r="A238" s="13" t="n">
        <f aca="false">'Match Results'!A61</f>
        <v>45946</v>
      </c>
      <c r="B238" s="13" t="n">
        <f aca="false">'Match Results'!B238</f>
        <v>0</v>
      </c>
      <c r="C238" s="13" t="n">
        <v>60</v>
      </c>
      <c r="D238" s="13" t="n">
        <f aca="false">'Match Results'!C61</f>
        <v>0</v>
      </c>
      <c r="E238" s="13" t="str">
        <f aca="false">IF('Match Results'!E61&gt;'Match Results'!F61,"Win",IF('Match Results'!E61='Match Results'!F61,"Draw","Loss"))</f>
        <v>Draw</v>
      </c>
      <c r="F238" s="13" t="n">
        <f aca="false">IF(E238="Win",3,IF(E238="Draw",2,1))</f>
        <v>2</v>
      </c>
    </row>
    <row r="239" customFormat="false" ht="14.25" hidden="false" customHeight="false" outlineLevel="0" collapsed="false">
      <c r="A239" s="13" t="n">
        <f aca="false">'Match Results'!A61</f>
        <v>45946</v>
      </c>
      <c r="B239" s="13" t="n">
        <f aca="false">'Match Results'!B239</f>
        <v>0</v>
      </c>
      <c r="C239" s="13" t="n">
        <v>60</v>
      </c>
      <c r="D239" s="13" t="n">
        <f aca="false">'Match Results'!D61</f>
        <v>0</v>
      </c>
      <c r="E239" s="13" t="str">
        <f aca="false">IF('Match Results'!E61&gt;'Match Results'!F61,"Win",IF('Match Results'!E61='Match Results'!F61,"Draw","Loss"))</f>
        <v>Draw</v>
      </c>
      <c r="F239" s="13" t="n">
        <f aca="false">IF(E239="Win",3,IF(E239="Draw",2,1))</f>
        <v>2</v>
      </c>
    </row>
    <row r="240" customFormat="false" ht="14.25" hidden="false" customHeight="false" outlineLevel="0" collapsed="false">
      <c r="A240" s="13" t="n">
        <f aca="false">'Match Results'!A61</f>
        <v>45946</v>
      </c>
      <c r="B240" s="13" t="n">
        <f aca="false">'Match Results'!B240</f>
        <v>0</v>
      </c>
      <c r="C240" s="13" t="n">
        <v>60</v>
      </c>
      <c r="D240" s="13" t="n">
        <f aca="false">'Match Results'!G61</f>
        <v>0</v>
      </c>
      <c r="E240" s="13" t="str">
        <f aca="false">IF('Match Results'!F61&gt;'Match Results'!E61,"Win",IF('Match Results'!E61='Match Results'!F61,"Draw","Loss"))</f>
        <v>Draw</v>
      </c>
      <c r="F240" s="13" t="n">
        <f aca="false">IF(E240="Win",3,IF(E240="Draw",2,1))</f>
        <v>2</v>
      </c>
    </row>
    <row r="241" customFormat="false" ht="14.25" hidden="false" customHeight="false" outlineLevel="0" collapsed="false">
      <c r="A241" s="13" t="n">
        <f aca="false">'Match Results'!A61</f>
        <v>45946</v>
      </c>
      <c r="B241" s="13" t="n">
        <f aca="false">'Match Results'!B241</f>
        <v>0</v>
      </c>
      <c r="C241" s="13" t="n">
        <v>60</v>
      </c>
      <c r="D241" s="13" t="n">
        <f aca="false">'Match Results'!H61</f>
        <v>0</v>
      </c>
      <c r="E241" s="13" t="str">
        <f aca="false">IF('Match Results'!F61&gt;'Match Results'!E61,"Win",IF('Match Results'!E61='Match Results'!F61,"Draw","Loss"))</f>
        <v>Draw</v>
      </c>
      <c r="F241" s="13" t="n">
        <f aca="false">IF(E241="Win",3,IF(E241="Draw",2,1))</f>
        <v>2</v>
      </c>
    </row>
    <row r="242" customFormat="false" ht="14.25" hidden="false" customHeight="false" outlineLevel="0" collapsed="false">
      <c r="A242" s="13" t="n">
        <f aca="false">'Match Results'!A62</f>
        <v>45953</v>
      </c>
      <c r="B242" s="13" t="str">
        <f aca="false">'Match Results'!B242</f>
        <v>Power Court</v>
      </c>
      <c r="C242" s="13" t="n">
        <v>61</v>
      </c>
      <c r="D242" s="13" t="str">
        <f aca="false">'Match Results'!C62</f>
        <v>Vivek</v>
      </c>
      <c r="E242" s="13" t="str">
        <f aca="false">IF('Match Results'!E62&gt;'Match Results'!F62,"Win",IF('Match Results'!E62='Match Results'!F62,"Draw","Loss"))</f>
        <v>Loss</v>
      </c>
      <c r="F242" s="13" t="n">
        <f aca="false">IF(E242="Win",3,IF(E242="Draw",2,1))</f>
        <v>1</v>
      </c>
    </row>
    <row r="243" customFormat="false" ht="14.25" hidden="false" customHeight="false" outlineLevel="0" collapsed="false">
      <c r="A243" s="13" t="n">
        <f aca="false">'Match Results'!A62</f>
        <v>45953</v>
      </c>
      <c r="B243" s="13" t="str">
        <f aca="false">'Match Results'!B243</f>
        <v>Power Court</v>
      </c>
      <c r="C243" s="13" t="n">
        <v>61</v>
      </c>
      <c r="D243" s="13" t="str">
        <f aca="false">'Match Results'!D62</f>
        <v>Jamil</v>
      </c>
      <c r="E243" s="13" t="str">
        <f aca="false">IF('Match Results'!E62&gt;'Match Results'!F62,"Win",IF('Match Results'!E62='Match Results'!F62,"Draw","Loss"))</f>
        <v>Loss</v>
      </c>
      <c r="F243" s="13" t="n">
        <f aca="false">IF(E243="Win",3,IF(E243="Draw",2,1))</f>
        <v>1</v>
      </c>
    </row>
    <row r="244" customFormat="false" ht="14.25" hidden="false" customHeight="false" outlineLevel="0" collapsed="false">
      <c r="A244" s="13" t="n">
        <f aca="false">'Match Results'!A62</f>
        <v>45953</v>
      </c>
      <c r="B244" s="13" t="str">
        <f aca="false">'Match Results'!B244</f>
        <v>Power Court</v>
      </c>
      <c r="C244" s="13" t="n">
        <v>61</v>
      </c>
      <c r="D244" s="13" t="str">
        <f aca="false">'Match Results'!G62</f>
        <v>Bruno</v>
      </c>
      <c r="E244" s="13" t="str">
        <f aca="false">IF('Match Results'!F62&gt;'Match Results'!E62,"Win",IF('Match Results'!E62='Match Results'!F62,"Draw","Loss"))</f>
        <v>Win</v>
      </c>
      <c r="F244" s="13" t="n">
        <f aca="false">IF(E244="Win",3,IF(E244="Draw",2,1))</f>
        <v>3</v>
      </c>
    </row>
    <row r="245" customFormat="false" ht="14.25" hidden="false" customHeight="false" outlineLevel="0" collapsed="false">
      <c r="A245" s="13" t="n">
        <f aca="false">'Match Results'!A62</f>
        <v>45953</v>
      </c>
      <c r="B245" s="13" t="str">
        <f aca="false">'Match Results'!B245</f>
        <v>Power Court</v>
      </c>
      <c r="C245" s="13" t="n">
        <v>61</v>
      </c>
      <c r="D245" s="13" t="str">
        <f aca="false">'Match Results'!H62</f>
        <v>Amit</v>
      </c>
      <c r="E245" s="13" t="str">
        <f aca="false">IF('Match Results'!F62&gt;'Match Results'!E62,"Win",IF('Match Results'!E62='Match Results'!F62,"Draw","Loss"))</f>
        <v>Win</v>
      </c>
      <c r="F245" s="13" t="n">
        <f aca="false">IF(E245="Win",3,IF(E245="Draw",2,1))</f>
        <v>3</v>
      </c>
    </row>
    <row r="246" customFormat="false" ht="14.25" hidden="false" customHeight="false" outlineLevel="0" collapsed="false">
      <c r="A246" s="13" t="n">
        <f aca="false">'Match Results'!A63</f>
        <v>45953</v>
      </c>
      <c r="B246" s="13" t="str">
        <f aca="false">'Match Results'!B246</f>
        <v>Power Court</v>
      </c>
      <c r="C246" s="13" t="n">
        <v>62</v>
      </c>
      <c r="D246" s="13" t="str">
        <f aca="false">'Match Results'!C63</f>
        <v>Sharuk</v>
      </c>
      <c r="E246" s="13" t="str">
        <f aca="false">IF('Match Results'!E63&gt;'Match Results'!F63,"Win",IF('Match Results'!E63='Match Results'!F63,"Draw","Loss"))</f>
        <v>Loss</v>
      </c>
      <c r="F246" s="13" t="n">
        <f aca="false">IF(E246="Win",3,IF(E246="Draw",2,1))</f>
        <v>1</v>
      </c>
    </row>
    <row r="247" customFormat="false" ht="14.25" hidden="false" customHeight="false" outlineLevel="0" collapsed="false">
      <c r="A247" s="13" t="n">
        <f aca="false">'Match Results'!A63</f>
        <v>45953</v>
      </c>
      <c r="B247" s="13" t="str">
        <f aca="false">'Match Results'!B247</f>
        <v>Power Court</v>
      </c>
      <c r="C247" s="13" t="n">
        <v>62</v>
      </c>
      <c r="D247" s="13" t="str">
        <f aca="false">'Match Results'!D63</f>
        <v>Caner</v>
      </c>
      <c r="E247" s="13" t="str">
        <f aca="false">IF('Match Results'!E63&gt;'Match Results'!F63,"Win",IF('Match Results'!E63='Match Results'!F63,"Draw","Loss"))</f>
        <v>Loss</v>
      </c>
      <c r="F247" s="13" t="n">
        <f aca="false">IF(E247="Win",3,IF(E247="Draw",2,1))</f>
        <v>1</v>
      </c>
    </row>
    <row r="248" customFormat="false" ht="14.25" hidden="false" customHeight="false" outlineLevel="0" collapsed="false">
      <c r="A248" s="13" t="n">
        <f aca="false">'Match Results'!A63</f>
        <v>45953</v>
      </c>
      <c r="B248" s="13" t="str">
        <f aca="false">'Match Results'!B248</f>
        <v>Rising Court</v>
      </c>
      <c r="C248" s="13" t="n">
        <v>62</v>
      </c>
      <c r="D248" s="13" t="str">
        <f aca="false">'Match Results'!G63</f>
        <v>Tin </v>
      </c>
      <c r="E248" s="13" t="str">
        <f aca="false">IF('Match Results'!F63&gt;'Match Results'!E63,"Win",IF('Match Results'!E63='Match Results'!F63,"Draw","Loss"))</f>
        <v>Win</v>
      </c>
      <c r="F248" s="13" t="n">
        <f aca="false">IF(E248="Win",3,IF(E248="Draw",2,1))</f>
        <v>3</v>
      </c>
    </row>
    <row r="249" customFormat="false" ht="14.25" hidden="false" customHeight="false" outlineLevel="0" collapsed="false">
      <c r="A249" s="13" t="n">
        <f aca="false">'Match Results'!A63</f>
        <v>45953</v>
      </c>
      <c r="B249" s="13" t="str">
        <f aca="false">'Match Results'!B249</f>
        <v>Rising Court</v>
      </c>
      <c r="C249" s="13" t="n">
        <v>62</v>
      </c>
      <c r="D249" s="13" t="str">
        <f aca="false">'Match Results'!H63</f>
        <v>Joel</v>
      </c>
      <c r="E249" s="13" t="str">
        <f aca="false">IF('Match Results'!F63&gt;'Match Results'!E63,"Win",IF('Match Results'!E63='Match Results'!F63,"Draw","Loss"))</f>
        <v>Win</v>
      </c>
      <c r="F249" s="13" t="n">
        <f aca="false">IF(E249="Win",3,IF(E249="Draw",2,1))</f>
        <v>3</v>
      </c>
    </row>
    <row r="250" customFormat="false" ht="14.25" hidden="false" customHeight="false" outlineLevel="0" collapsed="false">
      <c r="A250" s="13" t="n">
        <f aca="false">'Match Results'!A64</f>
        <v>45953</v>
      </c>
      <c r="B250" s="13" t="str">
        <f aca="false">'Match Results'!B250</f>
        <v>Rising Court</v>
      </c>
      <c r="C250" s="13" t="n">
        <v>63</v>
      </c>
      <c r="D250" s="13" t="str">
        <f aca="false">'Match Results'!C64</f>
        <v>Sharuk</v>
      </c>
      <c r="E250" s="13" t="str">
        <f aca="false">IF('Match Results'!E64&gt;'Match Results'!F64,"Win",IF('Match Results'!E64='Match Results'!F64,"Draw","Loss"))</f>
        <v>Win</v>
      </c>
      <c r="F250" s="13" t="n">
        <f aca="false">IF(E250="Win",3,IF(E250="Draw",2,1))</f>
        <v>3</v>
      </c>
    </row>
    <row r="251" customFormat="false" ht="14.25" hidden="false" customHeight="false" outlineLevel="0" collapsed="false">
      <c r="A251" s="13" t="n">
        <f aca="false">'Match Results'!A64</f>
        <v>45953</v>
      </c>
      <c r="B251" s="13" t="str">
        <f aca="false">'Match Results'!B251</f>
        <v>Rising Court</v>
      </c>
      <c r="C251" s="13" t="n">
        <v>63</v>
      </c>
      <c r="D251" s="13" t="str">
        <f aca="false">'Match Results'!D64</f>
        <v>Caner</v>
      </c>
      <c r="E251" s="13" t="str">
        <f aca="false">IF('Match Results'!E64&gt;'Match Results'!F64,"Win",IF('Match Results'!E64='Match Results'!F64,"Draw","Loss"))</f>
        <v>Win</v>
      </c>
      <c r="F251" s="13" t="n">
        <f aca="false">IF(E251="Win",3,IF(E251="Draw",2,1))</f>
        <v>3</v>
      </c>
    </row>
    <row r="252" customFormat="false" ht="14.25" hidden="false" customHeight="false" outlineLevel="0" collapsed="false">
      <c r="A252" s="13" t="n">
        <f aca="false">'Match Results'!A64</f>
        <v>45953</v>
      </c>
      <c r="B252" s="13" t="str">
        <f aca="false">'Match Results'!B252</f>
        <v>Rising Court</v>
      </c>
      <c r="C252" s="13" t="n">
        <v>63</v>
      </c>
      <c r="D252" s="13" t="str">
        <f aca="false">'Match Results'!G64</f>
        <v>Amit</v>
      </c>
      <c r="E252" s="13" t="str">
        <f aca="false">IF('Match Results'!F64&gt;'Match Results'!E64,"Win",IF('Match Results'!E64='Match Results'!F64,"Draw","Loss"))</f>
        <v>Loss</v>
      </c>
      <c r="F252" s="13" t="n">
        <f aca="false">IF(E252="Win",3,IF(E252="Draw",2,1))</f>
        <v>1</v>
      </c>
    </row>
    <row r="253" customFormat="false" ht="14.25" hidden="false" customHeight="false" outlineLevel="0" collapsed="false">
      <c r="A253" s="13" t="n">
        <f aca="false">'Match Results'!A64</f>
        <v>45953</v>
      </c>
      <c r="B253" s="13" t="str">
        <f aca="false">'Match Results'!B253</f>
        <v>Rising Court</v>
      </c>
      <c r="C253" s="13" t="n">
        <v>63</v>
      </c>
      <c r="D253" s="13" t="str">
        <f aca="false">'Match Results'!H64</f>
        <v>Jamil</v>
      </c>
      <c r="E253" s="13" t="str">
        <f aca="false">IF('Match Results'!F64&gt;'Match Results'!E64,"Win",IF('Match Results'!E64='Match Results'!F64,"Draw","Loss"))</f>
        <v>Loss</v>
      </c>
      <c r="F253" s="13" t="n">
        <f aca="false">IF(E253="Win",3,IF(E253="Draw",2,1))</f>
        <v>1</v>
      </c>
    </row>
    <row r="254" customFormat="false" ht="14.25" hidden="false" customHeight="false" outlineLevel="0" collapsed="false">
      <c r="A254" s="13" t="n">
        <f aca="false">'Match Results'!A65</f>
        <v>45953</v>
      </c>
      <c r="B254" s="13" t="n">
        <f aca="false">'Match Results'!B254</f>
        <v>0</v>
      </c>
      <c r="C254" s="13" t="n">
        <v>64</v>
      </c>
      <c r="D254" s="13" t="str">
        <f aca="false">'Match Results'!C65</f>
        <v>Sharuk</v>
      </c>
      <c r="E254" s="13" t="str">
        <f aca="false">IF('Match Results'!E65&gt;'Match Results'!F65,"Win",IF('Match Results'!E65='Match Results'!F65,"Draw","Loss"))</f>
        <v>Win</v>
      </c>
      <c r="F254" s="13" t="n">
        <f aca="false">IF(E254="Win",3,IF(E254="Draw",2,1))</f>
        <v>3</v>
      </c>
    </row>
    <row r="255" customFormat="false" ht="14.25" hidden="false" customHeight="false" outlineLevel="0" collapsed="false">
      <c r="A255" s="13" t="n">
        <f aca="false">'Match Results'!A65</f>
        <v>45953</v>
      </c>
      <c r="B255" s="13" t="n">
        <f aca="false">'Match Results'!B255</f>
        <v>0</v>
      </c>
      <c r="C255" s="13" t="n">
        <v>64</v>
      </c>
      <c r="D255" s="13" t="str">
        <f aca="false">'Match Results'!D65</f>
        <v>Caner</v>
      </c>
      <c r="E255" s="13" t="str">
        <f aca="false">IF('Match Results'!E65&gt;'Match Results'!F65,"Win",IF('Match Results'!E65='Match Results'!F65,"Draw","Loss"))</f>
        <v>Win</v>
      </c>
      <c r="F255" s="13" t="n">
        <f aca="false">IF(E255="Win",3,IF(E255="Draw",2,1))</f>
        <v>3</v>
      </c>
    </row>
    <row r="256" customFormat="false" ht="14.25" hidden="false" customHeight="false" outlineLevel="0" collapsed="false">
      <c r="A256" s="13" t="n">
        <f aca="false">'Match Results'!A65</f>
        <v>45953</v>
      </c>
      <c r="B256" s="13" t="n">
        <f aca="false">'Match Results'!B256</f>
        <v>0</v>
      </c>
      <c r="C256" s="13" t="n">
        <v>64</v>
      </c>
      <c r="D256" s="13" t="str">
        <f aca="false">'Match Results'!G65</f>
        <v>Amit</v>
      </c>
      <c r="E256" s="13" t="str">
        <f aca="false">IF('Match Results'!F65&gt;'Match Results'!E65,"Win",IF('Match Results'!E65='Match Results'!F65,"Draw","Loss"))</f>
        <v>Loss</v>
      </c>
      <c r="F256" s="13" t="n">
        <f aca="false">IF(E256="Win",3,IF(E256="Draw",2,1))</f>
        <v>1</v>
      </c>
    </row>
    <row r="257" customFormat="false" ht="14.25" hidden="false" customHeight="false" outlineLevel="0" collapsed="false">
      <c r="A257" s="13" t="n">
        <f aca="false">'Match Results'!A65</f>
        <v>45953</v>
      </c>
      <c r="B257" s="13" t="n">
        <f aca="false">'Match Results'!B257</f>
        <v>0</v>
      </c>
      <c r="C257" s="13" t="n">
        <v>64</v>
      </c>
      <c r="D257" s="13" t="str">
        <f aca="false">'Match Results'!H65</f>
        <v>Jamil</v>
      </c>
      <c r="E257" s="13" t="str">
        <f aca="false">IF('Match Results'!F65&gt;'Match Results'!E65,"Win",IF('Match Results'!E65='Match Results'!F65,"Draw","Loss"))</f>
        <v>Loss</v>
      </c>
      <c r="F257" s="13" t="n">
        <f aca="false">IF(E257="Win",3,IF(E257="Draw",2,1))</f>
        <v>1</v>
      </c>
    </row>
    <row r="258" customFormat="false" ht="14.25" hidden="false" customHeight="false" outlineLevel="0" collapsed="false">
      <c r="A258" s="13" t="n">
        <f aca="false">'Match Results'!A66</f>
        <v>45953</v>
      </c>
      <c r="B258" s="13" t="n">
        <f aca="false">'Match Results'!B258</f>
        <v>0</v>
      </c>
      <c r="C258" s="13" t="n">
        <v>65</v>
      </c>
      <c r="D258" s="13" t="str">
        <f aca="false">'Match Results'!C66</f>
        <v>Bruno</v>
      </c>
      <c r="E258" s="13" t="str">
        <f aca="false">IF('Match Results'!E66&gt;'Match Results'!F66,"Win",IF('Match Results'!E66='Match Results'!F66,"Draw","Loss"))</f>
        <v>Win</v>
      </c>
      <c r="F258" s="13" t="n">
        <f aca="false">IF(E258="Win",3,IF(E258="Draw",2,1))</f>
        <v>3</v>
      </c>
    </row>
    <row r="259" customFormat="false" ht="14.25" hidden="false" customHeight="false" outlineLevel="0" collapsed="false">
      <c r="A259" s="13" t="n">
        <f aca="false">'Match Results'!A66</f>
        <v>45953</v>
      </c>
      <c r="B259" s="13" t="n">
        <f aca="false">'Match Results'!B259</f>
        <v>0</v>
      </c>
      <c r="C259" s="13" t="n">
        <v>65</v>
      </c>
      <c r="D259" s="13" t="str">
        <f aca="false">'Match Results'!D66</f>
        <v>Joel</v>
      </c>
      <c r="E259" s="13" t="str">
        <f aca="false">IF('Match Results'!E66&gt;'Match Results'!F66,"Win",IF('Match Results'!E66='Match Results'!F66,"Draw","Loss"))</f>
        <v>Win</v>
      </c>
      <c r="F259" s="13" t="n">
        <f aca="false">IF(E259="Win",3,IF(E259="Draw",2,1))</f>
        <v>3</v>
      </c>
    </row>
    <row r="260" customFormat="false" ht="14.25" hidden="false" customHeight="false" outlineLevel="0" collapsed="false">
      <c r="A260" s="13" t="n">
        <f aca="false">'Match Results'!A66</f>
        <v>45953</v>
      </c>
      <c r="B260" s="13" t="n">
        <f aca="false">'Match Results'!B260</f>
        <v>0</v>
      </c>
      <c r="C260" s="13" t="n">
        <v>65</v>
      </c>
      <c r="D260" s="13" t="str">
        <f aca="false">'Match Results'!G66</f>
        <v>Tin </v>
      </c>
      <c r="E260" s="13" t="str">
        <f aca="false">IF('Match Results'!F66&gt;'Match Results'!E66,"Win",IF('Match Results'!E66='Match Results'!F66,"Draw","Loss"))</f>
        <v>Loss</v>
      </c>
      <c r="F260" s="13" t="n">
        <f aca="false">IF(E260="Win",3,IF(E260="Draw",2,1))</f>
        <v>1</v>
      </c>
    </row>
    <row r="261" customFormat="false" ht="14.25" hidden="false" customHeight="false" outlineLevel="0" collapsed="false">
      <c r="A261" s="13" t="n">
        <f aca="false">'Match Results'!A66</f>
        <v>45953</v>
      </c>
      <c r="B261" s="13" t="n">
        <f aca="false">'Match Results'!B261</f>
        <v>0</v>
      </c>
      <c r="C261" s="13" t="n">
        <v>65</v>
      </c>
      <c r="D261" s="13" t="str">
        <f aca="false">'Match Results'!H66</f>
        <v>Amit</v>
      </c>
      <c r="E261" s="13" t="str">
        <f aca="false">IF('Match Results'!F66&gt;'Match Results'!E66,"Win",IF('Match Results'!E66='Match Results'!F66,"Draw","Loss"))</f>
        <v>Loss</v>
      </c>
      <c r="F261" s="13" t="n">
        <f aca="false">IF(E261="Win",3,IF(E261="Draw",2,1))</f>
        <v>1</v>
      </c>
    </row>
    <row r="262" customFormat="false" ht="14.25" hidden="false" customHeight="false" outlineLevel="0" collapsed="false">
      <c r="A262" s="13" t="n">
        <f aca="false">'Match Results'!A67</f>
        <v>45953</v>
      </c>
      <c r="B262" s="13" t="n">
        <f aca="false">'Match Results'!B262</f>
        <v>0</v>
      </c>
      <c r="C262" s="13" t="n">
        <v>66</v>
      </c>
      <c r="D262" s="13" t="str">
        <f aca="false">'Match Results'!C67</f>
        <v>Joel</v>
      </c>
      <c r="E262" s="13" t="str">
        <f aca="false">IF('Match Results'!E67&gt;'Match Results'!F67,"Win",IF('Match Results'!E67='Match Results'!F67,"Draw","Loss"))</f>
        <v>Win</v>
      </c>
      <c r="F262" s="13" t="n">
        <f aca="false">IF(E262="Win",3,IF(E262="Draw",2,1))</f>
        <v>3</v>
      </c>
    </row>
    <row r="263" customFormat="false" ht="14.25" hidden="false" customHeight="false" outlineLevel="0" collapsed="false">
      <c r="A263" s="13" t="n">
        <f aca="false">'Match Results'!A67</f>
        <v>45953</v>
      </c>
      <c r="B263" s="13" t="n">
        <f aca="false">'Match Results'!B263</f>
        <v>0</v>
      </c>
      <c r="C263" s="13" t="n">
        <v>66</v>
      </c>
      <c r="D263" s="13" t="str">
        <f aca="false">'Match Results'!D67</f>
        <v>Renato</v>
      </c>
      <c r="E263" s="13" t="str">
        <f aca="false">IF('Match Results'!E67&gt;'Match Results'!F67,"Win",IF('Match Results'!E67='Match Results'!F67,"Draw","Loss"))</f>
        <v>Win</v>
      </c>
      <c r="F263" s="13" t="n">
        <f aca="false">IF(E263="Win",3,IF(E263="Draw",2,1))</f>
        <v>3</v>
      </c>
    </row>
    <row r="264" customFormat="false" ht="14.25" hidden="false" customHeight="false" outlineLevel="0" collapsed="false">
      <c r="A264" s="13" t="n">
        <f aca="false">'Match Results'!A67</f>
        <v>45953</v>
      </c>
      <c r="B264" s="13" t="n">
        <f aca="false">'Match Results'!B264</f>
        <v>0</v>
      </c>
      <c r="C264" s="13" t="n">
        <v>66</v>
      </c>
      <c r="D264" s="13" t="str">
        <f aca="false">'Match Results'!G67</f>
        <v>Vivek</v>
      </c>
      <c r="E264" s="13" t="str">
        <f aca="false">IF('Match Results'!F67&gt;'Match Results'!E67,"Win",IF('Match Results'!E67='Match Results'!F67,"Draw","Loss"))</f>
        <v>Loss</v>
      </c>
      <c r="F264" s="13" t="n">
        <f aca="false">IF(E264="Win",3,IF(E264="Draw",2,1))</f>
        <v>1</v>
      </c>
    </row>
    <row r="265" customFormat="false" ht="14.25" hidden="false" customHeight="false" outlineLevel="0" collapsed="false">
      <c r="A265" s="13" t="n">
        <f aca="false">'Match Results'!A67</f>
        <v>45953</v>
      </c>
      <c r="B265" s="13" t="n">
        <f aca="false">'Match Results'!B265</f>
        <v>0</v>
      </c>
      <c r="C265" s="13" t="n">
        <v>66</v>
      </c>
      <c r="D265" s="13" t="str">
        <f aca="false">'Match Results'!H67</f>
        <v>Bruno</v>
      </c>
      <c r="E265" s="13" t="str">
        <f aca="false">IF('Match Results'!F67&gt;'Match Results'!E67,"Win",IF('Match Results'!E67='Match Results'!F67,"Draw","Loss"))</f>
        <v>Loss</v>
      </c>
      <c r="F265" s="13" t="n">
        <f aca="false">IF(E265="Win",3,IF(E265="Draw",2,1))</f>
        <v>1</v>
      </c>
    </row>
    <row r="266" customFormat="false" ht="14.25" hidden="false" customHeight="false" outlineLevel="0" collapsed="false">
      <c r="A266" s="13" t="n">
        <f aca="false">'Match Results'!A68</f>
        <v>45953</v>
      </c>
      <c r="B266" s="13" t="n">
        <f aca="false">'Match Results'!B266</f>
        <v>0</v>
      </c>
      <c r="C266" s="13" t="n">
        <v>67</v>
      </c>
      <c r="D266" s="13" t="str">
        <f aca="false">'Match Results'!C68</f>
        <v>Sharuk</v>
      </c>
      <c r="E266" s="13" t="str">
        <f aca="false">IF('Match Results'!E68&gt;'Match Results'!F68,"Win",IF('Match Results'!E68='Match Results'!F68,"Draw","Loss"))</f>
        <v>Win</v>
      </c>
      <c r="F266" s="13" t="n">
        <f aca="false">IF(E266="Win",3,IF(E266="Draw",2,1))</f>
        <v>3</v>
      </c>
    </row>
    <row r="267" customFormat="false" ht="14.25" hidden="false" customHeight="false" outlineLevel="0" collapsed="false">
      <c r="A267" s="13" t="n">
        <f aca="false">'Match Results'!A68</f>
        <v>45953</v>
      </c>
      <c r="B267" s="13" t="n">
        <f aca="false">'Match Results'!B267</f>
        <v>0</v>
      </c>
      <c r="C267" s="13" t="n">
        <v>67</v>
      </c>
      <c r="D267" s="13" t="str">
        <f aca="false">'Match Results'!D68</f>
        <v>Tin </v>
      </c>
      <c r="E267" s="13" t="str">
        <f aca="false">IF('Match Results'!E68&gt;'Match Results'!F68,"Win",IF('Match Results'!E68='Match Results'!F68,"Draw","Loss"))</f>
        <v>Win</v>
      </c>
      <c r="F267" s="13" t="n">
        <f aca="false">IF(E267="Win",3,IF(E267="Draw",2,1))</f>
        <v>3</v>
      </c>
    </row>
    <row r="268" customFormat="false" ht="14.25" hidden="false" customHeight="false" outlineLevel="0" collapsed="false">
      <c r="A268" s="13" t="n">
        <f aca="false">'Match Results'!A68</f>
        <v>45953</v>
      </c>
      <c r="B268" s="13" t="n">
        <f aca="false">'Match Results'!B268</f>
        <v>0</v>
      </c>
      <c r="C268" s="13" t="n">
        <v>67</v>
      </c>
      <c r="D268" s="13" t="str">
        <f aca="false">'Match Results'!G68</f>
        <v>Amit</v>
      </c>
      <c r="E268" s="13" t="str">
        <f aca="false">IF('Match Results'!F68&gt;'Match Results'!E68,"Win",IF('Match Results'!E68='Match Results'!F68,"Draw","Loss"))</f>
        <v>Loss</v>
      </c>
      <c r="F268" s="13" t="n">
        <f aca="false">IF(E268="Win",3,IF(E268="Draw",2,1))</f>
        <v>1</v>
      </c>
    </row>
    <row r="269" customFormat="false" ht="14.25" hidden="false" customHeight="false" outlineLevel="0" collapsed="false">
      <c r="A269" s="13" t="n">
        <f aca="false">'Match Results'!A68</f>
        <v>45953</v>
      </c>
      <c r="B269" s="13" t="n">
        <f aca="false">'Match Results'!B269</f>
        <v>0</v>
      </c>
      <c r="C269" s="13" t="n">
        <v>67</v>
      </c>
      <c r="D269" s="13" t="str">
        <f aca="false">'Match Results'!H68</f>
        <v>Bruno</v>
      </c>
      <c r="E269" s="13" t="str">
        <f aca="false">IF('Match Results'!F68&gt;'Match Results'!E68,"Win",IF('Match Results'!E68='Match Results'!F68,"Draw","Loss"))</f>
        <v>Loss</v>
      </c>
      <c r="F269" s="13" t="n">
        <f aca="false">IF(E269="Win",3,IF(E269="Draw",2,1))</f>
        <v>1</v>
      </c>
    </row>
    <row r="270" customFormat="false" ht="14.25" hidden="false" customHeight="false" outlineLevel="0" collapsed="false">
      <c r="A270" s="13" t="n">
        <f aca="false">'Match Results'!A69</f>
        <v>45953</v>
      </c>
      <c r="B270" s="13" t="n">
        <f aca="false">'Match Results'!B270</f>
        <v>0</v>
      </c>
      <c r="C270" s="13" t="n">
        <v>68</v>
      </c>
      <c r="D270" s="13" t="str">
        <f aca="false">'Match Results'!C69</f>
        <v>Vivek</v>
      </c>
      <c r="E270" s="13" t="str">
        <f aca="false">IF('Match Results'!E69&gt;'Match Results'!F69,"Win",IF('Match Results'!E69='Match Results'!F69,"Draw","Loss"))</f>
        <v>Win</v>
      </c>
      <c r="F270" s="13" t="n">
        <f aca="false">IF(E270="Win",3,IF(E270="Draw",2,1))</f>
        <v>3</v>
      </c>
    </row>
    <row r="271" customFormat="false" ht="14.25" hidden="false" customHeight="false" outlineLevel="0" collapsed="false">
      <c r="A271" s="13" t="n">
        <f aca="false">'Match Results'!A69</f>
        <v>45953</v>
      </c>
      <c r="B271" s="13" t="n">
        <f aca="false">'Match Results'!B271</f>
        <v>0</v>
      </c>
      <c r="C271" s="13" t="n">
        <v>68</v>
      </c>
      <c r="D271" s="13" t="str">
        <f aca="false">'Match Results'!D69</f>
        <v>Renato</v>
      </c>
      <c r="E271" s="13" t="str">
        <f aca="false">IF('Match Results'!E69&gt;'Match Results'!F69,"Win",IF('Match Results'!E69='Match Results'!F69,"Draw","Loss"))</f>
        <v>Win</v>
      </c>
      <c r="F271" s="13" t="n">
        <f aca="false">IF(E271="Win",3,IF(E271="Draw",2,1))</f>
        <v>3</v>
      </c>
    </row>
    <row r="272" customFormat="false" ht="14.25" hidden="false" customHeight="false" outlineLevel="0" collapsed="false">
      <c r="A272" s="13" t="n">
        <f aca="false">'Match Results'!A69</f>
        <v>45953</v>
      </c>
      <c r="B272" s="13" t="n">
        <f aca="false">'Match Results'!B272</f>
        <v>0</v>
      </c>
      <c r="C272" s="13" t="n">
        <v>68</v>
      </c>
      <c r="D272" s="13" t="str">
        <f aca="false">'Match Results'!G69</f>
        <v>Caner</v>
      </c>
      <c r="E272" s="13" t="str">
        <f aca="false">IF('Match Results'!F69&gt;'Match Results'!E69,"Win",IF('Match Results'!E69='Match Results'!F69,"Draw","Loss"))</f>
        <v>Loss</v>
      </c>
      <c r="F272" s="13" t="n">
        <f aca="false">IF(E272="Win",3,IF(E272="Draw",2,1))</f>
        <v>1</v>
      </c>
    </row>
    <row r="273" customFormat="false" ht="14.25" hidden="false" customHeight="false" outlineLevel="0" collapsed="false">
      <c r="A273" s="13" t="n">
        <f aca="false">'Match Results'!A69</f>
        <v>45953</v>
      </c>
      <c r="B273" s="13" t="n">
        <f aca="false">'Match Results'!B273</f>
        <v>0</v>
      </c>
      <c r="C273" s="13" t="n">
        <v>68</v>
      </c>
      <c r="D273" s="13" t="str">
        <f aca="false">'Match Results'!H69</f>
        <v>Joel</v>
      </c>
      <c r="E273" s="13" t="str">
        <f aca="false">IF('Match Results'!F69&gt;'Match Results'!E69,"Win",IF('Match Results'!E69='Match Results'!F69,"Draw","Loss"))</f>
        <v>Loss</v>
      </c>
      <c r="F273" s="13" t="n">
        <f aca="false">IF(E273="Win",3,IF(E273="Draw",2,1))</f>
        <v>1</v>
      </c>
    </row>
    <row r="274" customFormat="false" ht="14.25" hidden="false" customHeight="false" outlineLevel="0" collapsed="false">
      <c r="A274" s="13" t="n">
        <f aca="false">'Match Results'!A70</f>
        <v>45953</v>
      </c>
      <c r="B274" s="13" t="n">
        <f aca="false">'Match Results'!B274</f>
        <v>0</v>
      </c>
      <c r="C274" s="13" t="n">
        <v>69</v>
      </c>
      <c r="D274" s="13" t="str">
        <f aca="false">'Match Results'!C70</f>
        <v>Joel</v>
      </c>
      <c r="E274" s="13" t="str">
        <f aca="false">IF('Match Results'!E70&gt;'Match Results'!F70,"Win",IF('Match Results'!E70='Match Results'!F70,"Draw","Loss"))</f>
        <v>Win</v>
      </c>
      <c r="F274" s="13" t="n">
        <f aca="false">IF(E274="Win",3,IF(E274="Draw",2,1))</f>
        <v>3</v>
      </c>
    </row>
    <row r="275" customFormat="false" ht="14.25" hidden="false" customHeight="false" outlineLevel="0" collapsed="false">
      <c r="A275" s="13" t="n">
        <f aca="false">'Match Results'!A70</f>
        <v>45953</v>
      </c>
      <c r="B275" s="13" t="n">
        <f aca="false">'Match Results'!B275</f>
        <v>0</v>
      </c>
      <c r="C275" s="13" t="n">
        <v>69</v>
      </c>
      <c r="D275" s="13" t="str">
        <f aca="false">'Match Results'!D70</f>
        <v>Amit</v>
      </c>
      <c r="E275" s="13" t="str">
        <f aca="false">IF('Match Results'!E70&gt;'Match Results'!F70,"Win",IF('Match Results'!E70='Match Results'!F70,"Draw","Loss"))</f>
        <v>Win</v>
      </c>
      <c r="F275" s="13" t="n">
        <f aca="false">IF(E275="Win",3,IF(E275="Draw",2,1))</f>
        <v>3</v>
      </c>
    </row>
    <row r="276" customFormat="false" ht="14.25" hidden="false" customHeight="false" outlineLevel="0" collapsed="false">
      <c r="A276" s="13" t="n">
        <f aca="false">'Match Results'!A70</f>
        <v>45953</v>
      </c>
      <c r="B276" s="13" t="n">
        <f aca="false">'Match Results'!B276</f>
        <v>0</v>
      </c>
      <c r="C276" s="13" t="n">
        <v>69</v>
      </c>
      <c r="D276" s="13" t="str">
        <f aca="false">'Match Results'!G70</f>
        <v>Tin </v>
      </c>
      <c r="E276" s="13" t="str">
        <f aca="false">IF('Match Results'!F70&gt;'Match Results'!E70,"Win",IF('Match Results'!E70='Match Results'!F70,"Draw","Loss"))</f>
        <v>Loss</v>
      </c>
      <c r="F276" s="13" t="n">
        <f aca="false">IF(E276="Win",3,IF(E276="Draw",2,1))</f>
        <v>1</v>
      </c>
    </row>
    <row r="277" customFormat="false" ht="14.25" hidden="false" customHeight="false" outlineLevel="0" collapsed="false">
      <c r="A277" s="13" t="n">
        <f aca="false">'Match Results'!A70</f>
        <v>45953</v>
      </c>
      <c r="B277" s="13" t="n">
        <f aca="false">'Match Results'!B277</f>
        <v>0</v>
      </c>
      <c r="C277" s="13" t="n">
        <v>69</v>
      </c>
      <c r="D277" s="13" t="str">
        <f aca="false">'Match Results'!H70</f>
        <v>Jamil</v>
      </c>
      <c r="E277" s="13" t="str">
        <f aca="false">IF('Match Results'!F70&gt;'Match Results'!E70,"Win",IF('Match Results'!E70='Match Results'!F70,"Draw","Loss"))</f>
        <v>Loss</v>
      </c>
      <c r="F277" s="13" t="n">
        <f aca="false">IF(E277="Win",3,IF(E277="Draw",2,1))</f>
        <v>1</v>
      </c>
    </row>
    <row r="278" customFormat="false" ht="14.25" hidden="false" customHeight="false" outlineLevel="0" collapsed="false">
      <c r="A278" s="13" t="n">
        <f aca="false">'Match Results'!A71</f>
        <v>45953</v>
      </c>
      <c r="B278" s="13" t="n">
        <f aca="false">'Match Results'!B278</f>
        <v>0</v>
      </c>
      <c r="C278" s="13" t="n">
        <v>70</v>
      </c>
      <c r="D278" s="13" t="str">
        <f aca="false">'Match Results'!C71</f>
        <v>Vivek</v>
      </c>
      <c r="E278" s="13" t="str">
        <f aca="false">IF('Match Results'!E71&gt;'Match Results'!F71,"Win",IF('Match Results'!E71='Match Results'!F71,"Draw","Loss"))</f>
        <v>Win</v>
      </c>
      <c r="F278" s="13" t="n">
        <f aca="false">IF(E278="Win",3,IF(E278="Draw",2,1))</f>
        <v>3</v>
      </c>
    </row>
    <row r="279" customFormat="false" ht="14.25" hidden="false" customHeight="false" outlineLevel="0" collapsed="false">
      <c r="A279" s="13" t="n">
        <f aca="false">'Match Results'!A71</f>
        <v>45953</v>
      </c>
      <c r="B279" s="13" t="n">
        <f aca="false">'Match Results'!B279</f>
        <v>0</v>
      </c>
      <c r="C279" s="13" t="n">
        <v>70</v>
      </c>
      <c r="D279" s="13" t="str">
        <f aca="false">'Match Results'!D71</f>
        <v>Renato</v>
      </c>
      <c r="E279" s="13" t="str">
        <f aca="false">IF('Match Results'!E71&gt;'Match Results'!F71,"Win",IF('Match Results'!E71='Match Results'!F71,"Draw","Loss"))</f>
        <v>Win</v>
      </c>
      <c r="F279" s="13" t="n">
        <f aca="false">IF(E279="Win",3,IF(E279="Draw",2,1))</f>
        <v>3</v>
      </c>
    </row>
    <row r="280" customFormat="false" ht="14.25" hidden="false" customHeight="false" outlineLevel="0" collapsed="false">
      <c r="A280" s="13" t="n">
        <f aca="false">'Match Results'!A71</f>
        <v>45953</v>
      </c>
      <c r="B280" s="13" t="n">
        <f aca="false">'Match Results'!B280</f>
        <v>0</v>
      </c>
      <c r="C280" s="13" t="n">
        <v>70</v>
      </c>
      <c r="D280" s="13" t="str">
        <f aca="false">'Match Results'!G71</f>
        <v>Caner</v>
      </c>
      <c r="E280" s="13" t="str">
        <f aca="false">IF('Match Results'!F71&gt;'Match Results'!E71,"Win",IF('Match Results'!E71='Match Results'!F71,"Draw","Loss"))</f>
        <v>Loss</v>
      </c>
      <c r="F280" s="13" t="n">
        <f aca="false">IF(E280="Win",3,IF(E280="Draw",2,1))</f>
        <v>1</v>
      </c>
    </row>
    <row r="281" customFormat="false" ht="14.25" hidden="false" customHeight="false" outlineLevel="0" collapsed="false">
      <c r="A281" s="13" t="n">
        <f aca="false">'Match Results'!A71</f>
        <v>45953</v>
      </c>
      <c r="B281" s="13" t="n">
        <f aca="false">'Match Results'!B281</f>
        <v>0</v>
      </c>
      <c r="C281" s="13" t="n">
        <v>70</v>
      </c>
      <c r="D281" s="13" t="str">
        <f aca="false">'Match Results'!H71</f>
        <v>Bruno</v>
      </c>
      <c r="E281" s="13" t="str">
        <f aca="false">IF('Match Results'!F71&gt;'Match Results'!E71,"Win",IF('Match Results'!E71='Match Results'!F71,"Draw","Loss"))</f>
        <v>Loss</v>
      </c>
      <c r="F281" s="13" t="n">
        <f aca="false">IF(E281="Win",3,IF(E281="Draw",2,1))</f>
        <v>1</v>
      </c>
    </row>
    <row r="282" customFormat="false" ht="14.25" hidden="false" customHeight="false" outlineLevel="0" collapsed="false">
      <c r="A282" s="13" t="n">
        <f aca="false">'Match Results'!A72</f>
        <v>45953</v>
      </c>
      <c r="B282" s="13" t="n">
        <f aca="false">'Match Results'!B282</f>
        <v>0</v>
      </c>
      <c r="C282" s="13" t="n">
        <v>71</v>
      </c>
      <c r="D282" s="13" t="n">
        <f aca="false">'Match Results'!C72</f>
        <v>0</v>
      </c>
      <c r="E282" s="13" t="str">
        <f aca="false">IF('Match Results'!E72&gt;'Match Results'!F72,"Win",IF('Match Results'!E72='Match Results'!F72,"Draw","Loss"))</f>
        <v>Draw</v>
      </c>
      <c r="F282" s="13" t="n">
        <f aca="false">IF(E282="Win",3,IF(E282="Draw",2,1))</f>
        <v>2</v>
      </c>
    </row>
    <row r="283" customFormat="false" ht="14.25" hidden="false" customHeight="false" outlineLevel="0" collapsed="false">
      <c r="A283" s="13" t="n">
        <f aca="false">'Match Results'!A72</f>
        <v>45953</v>
      </c>
      <c r="B283" s="13" t="n">
        <f aca="false">'Match Results'!B283</f>
        <v>0</v>
      </c>
      <c r="C283" s="13" t="n">
        <v>71</v>
      </c>
      <c r="D283" s="13" t="n">
        <f aca="false">'Match Results'!D72</f>
        <v>0</v>
      </c>
      <c r="E283" s="13" t="str">
        <f aca="false">IF('Match Results'!E72&gt;'Match Results'!F72,"Win",IF('Match Results'!E72='Match Results'!F72,"Draw","Loss"))</f>
        <v>Draw</v>
      </c>
      <c r="F283" s="13" t="n">
        <f aca="false">IF(E283="Win",3,IF(E283="Draw",2,1))</f>
        <v>2</v>
      </c>
    </row>
    <row r="284" customFormat="false" ht="14.25" hidden="false" customHeight="false" outlineLevel="0" collapsed="false">
      <c r="A284" s="13" t="n">
        <f aca="false">'Match Results'!A72</f>
        <v>45953</v>
      </c>
      <c r="B284" s="13" t="n">
        <f aca="false">'Match Results'!B284</f>
        <v>0</v>
      </c>
      <c r="C284" s="13" t="n">
        <v>71</v>
      </c>
      <c r="D284" s="13" t="n">
        <f aca="false">'Match Results'!G72</f>
        <v>0</v>
      </c>
      <c r="E284" s="13" t="str">
        <f aca="false">IF('Match Results'!F72&gt;'Match Results'!E72,"Win",IF('Match Results'!E72='Match Results'!F72,"Draw","Loss"))</f>
        <v>Draw</v>
      </c>
      <c r="F284" s="13" t="n">
        <f aca="false">IF(E284="Win",3,IF(E284="Draw",2,1))</f>
        <v>2</v>
      </c>
    </row>
    <row r="285" customFormat="false" ht="14.25" hidden="false" customHeight="false" outlineLevel="0" collapsed="false">
      <c r="A285" s="13" t="n">
        <f aca="false">'Match Results'!A72</f>
        <v>45953</v>
      </c>
      <c r="B285" s="13" t="n">
        <f aca="false">'Match Results'!B285</f>
        <v>0</v>
      </c>
      <c r="C285" s="13" t="n">
        <v>71</v>
      </c>
      <c r="D285" s="13" t="n">
        <f aca="false">'Match Results'!H72</f>
        <v>0</v>
      </c>
      <c r="E285" s="13" t="str">
        <f aca="false">IF('Match Results'!F72&gt;'Match Results'!E72,"Win",IF('Match Results'!E72='Match Results'!F72,"Draw","Loss"))</f>
        <v>Draw</v>
      </c>
      <c r="F285" s="13" t="n">
        <f aca="false">IF(E285="Win",3,IF(E285="Draw",2,1))</f>
        <v>2</v>
      </c>
    </row>
    <row r="286" customFormat="false" ht="14.25" hidden="false" customHeight="false" outlineLevel="0" collapsed="false">
      <c r="A286" s="13" t="n">
        <f aca="false">'Match Results'!A73</f>
        <v>45953</v>
      </c>
      <c r="B286" s="13" t="n">
        <f aca="false">'Match Results'!B286</f>
        <v>0</v>
      </c>
      <c r="C286" s="13" t="n">
        <v>72</v>
      </c>
      <c r="D286" s="13" t="n">
        <f aca="false">'Match Results'!C73</f>
        <v>0</v>
      </c>
      <c r="E286" s="13" t="str">
        <f aca="false">IF('Match Results'!E73&gt;'Match Results'!F73,"Win",IF('Match Results'!E73='Match Results'!F73,"Draw","Loss"))</f>
        <v>Draw</v>
      </c>
      <c r="F286" s="13" t="n">
        <f aca="false">IF(E286="Win",3,IF(E286="Draw",2,1))</f>
        <v>2</v>
      </c>
    </row>
    <row r="287" customFormat="false" ht="14.25" hidden="false" customHeight="false" outlineLevel="0" collapsed="false">
      <c r="A287" s="13" t="n">
        <f aca="false">'Match Results'!A73</f>
        <v>45953</v>
      </c>
      <c r="B287" s="13" t="n">
        <f aca="false">'Match Results'!B287</f>
        <v>0</v>
      </c>
      <c r="C287" s="13" t="n">
        <v>72</v>
      </c>
      <c r="D287" s="13" t="n">
        <f aca="false">'Match Results'!D73</f>
        <v>0</v>
      </c>
      <c r="E287" s="13" t="str">
        <f aca="false">IF('Match Results'!E73&gt;'Match Results'!F73,"Win",IF('Match Results'!E73='Match Results'!F73,"Draw","Loss"))</f>
        <v>Draw</v>
      </c>
      <c r="F287" s="13" t="n">
        <f aca="false">IF(E287="Win",3,IF(E287="Draw",2,1))</f>
        <v>2</v>
      </c>
    </row>
    <row r="288" customFormat="false" ht="14.25" hidden="false" customHeight="false" outlineLevel="0" collapsed="false">
      <c r="A288" s="13" t="n">
        <f aca="false">'Match Results'!A73</f>
        <v>45953</v>
      </c>
      <c r="B288" s="13" t="n">
        <f aca="false">'Match Results'!B288</f>
        <v>0</v>
      </c>
      <c r="C288" s="13" t="n">
        <v>72</v>
      </c>
      <c r="D288" s="13" t="n">
        <f aca="false">'Match Results'!G73</f>
        <v>0</v>
      </c>
      <c r="E288" s="13" t="str">
        <f aca="false">IF('Match Results'!F73&gt;'Match Results'!E73,"Win",IF('Match Results'!E73='Match Results'!F73,"Draw","Loss"))</f>
        <v>Draw</v>
      </c>
      <c r="F288" s="13" t="n">
        <f aca="false">IF(E288="Win",3,IF(E288="Draw",2,1))</f>
        <v>2</v>
      </c>
    </row>
    <row r="289" customFormat="false" ht="14.25" hidden="false" customHeight="false" outlineLevel="0" collapsed="false">
      <c r="A289" s="13" t="n">
        <f aca="false">'Match Results'!A73</f>
        <v>45953</v>
      </c>
      <c r="B289" s="13" t="n">
        <f aca="false">'Match Results'!B289</f>
        <v>0</v>
      </c>
      <c r="C289" s="13" t="n">
        <v>72</v>
      </c>
      <c r="D289" s="13" t="n">
        <f aca="false">'Match Results'!H73</f>
        <v>0</v>
      </c>
      <c r="E289" s="13" t="str">
        <f aca="false">IF('Match Results'!F73&gt;'Match Results'!E73,"Win",IF('Match Results'!E73='Match Results'!F73,"Draw","Loss"))</f>
        <v>Draw</v>
      </c>
      <c r="F289" s="13" t="n">
        <f aca="false">IF(E289="Win",3,IF(E289="Draw",2,1))</f>
        <v>2</v>
      </c>
    </row>
    <row r="290" customFormat="false" ht="14.25" hidden="false" customHeight="false" outlineLevel="0" collapsed="false">
      <c r="A290" s="13" t="n">
        <f aca="false">'Match Results'!A74</f>
        <v>45953</v>
      </c>
      <c r="B290" s="13" t="n">
        <f aca="false">'Match Results'!B290</f>
        <v>0</v>
      </c>
      <c r="C290" s="13" t="n">
        <v>73</v>
      </c>
      <c r="D290" s="13" t="n">
        <f aca="false">'Match Results'!C74</f>
        <v>0</v>
      </c>
      <c r="E290" s="13" t="str">
        <f aca="false">IF('Match Results'!E74&gt;'Match Results'!F74,"Win",IF('Match Results'!E74='Match Results'!F74,"Draw","Loss"))</f>
        <v>Draw</v>
      </c>
      <c r="F290" s="13" t="n">
        <f aca="false">IF(E290="Win",3,IF(E290="Draw",2,1))</f>
        <v>2</v>
      </c>
    </row>
    <row r="291" customFormat="false" ht="14.25" hidden="false" customHeight="false" outlineLevel="0" collapsed="false">
      <c r="A291" s="13" t="n">
        <f aca="false">'Match Results'!A74</f>
        <v>45953</v>
      </c>
      <c r="B291" s="13" t="n">
        <f aca="false">'Match Results'!B291</f>
        <v>0</v>
      </c>
      <c r="C291" s="13" t="n">
        <v>73</v>
      </c>
      <c r="D291" s="13" t="n">
        <f aca="false">'Match Results'!D74</f>
        <v>0</v>
      </c>
      <c r="E291" s="13" t="str">
        <f aca="false">IF('Match Results'!E74&gt;'Match Results'!F74,"Win",IF('Match Results'!E74='Match Results'!F74,"Draw","Loss"))</f>
        <v>Draw</v>
      </c>
      <c r="F291" s="13" t="n">
        <f aca="false">IF(E291="Win",3,IF(E291="Draw",2,1))</f>
        <v>2</v>
      </c>
    </row>
    <row r="292" customFormat="false" ht="14.25" hidden="false" customHeight="false" outlineLevel="0" collapsed="false">
      <c r="A292" s="13" t="n">
        <f aca="false">'Match Results'!A74</f>
        <v>45953</v>
      </c>
      <c r="B292" s="13" t="n">
        <f aca="false">'Match Results'!B292</f>
        <v>0</v>
      </c>
      <c r="C292" s="13" t="n">
        <v>73</v>
      </c>
      <c r="D292" s="13" t="n">
        <f aca="false">'Match Results'!G74</f>
        <v>0</v>
      </c>
      <c r="E292" s="13" t="str">
        <f aca="false">IF('Match Results'!F74&gt;'Match Results'!E74,"Win",IF('Match Results'!E74='Match Results'!F74,"Draw","Loss"))</f>
        <v>Draw</v>
      </c>
      <c r="F292" s="13" t="n">
        <f aca="false">IF(E292="Win",3,IF(E292="Draw",2,1))</f>
        <v>2</v>
      </c>
    </row>
    <row r="293" customFormat="false" ht="14.25" hidden="false" customHeight="false" outlineLevel="0" collapsed="false">
      <c r="A293" s="13" t="n">
        <f aca="false">'Match Results'!A74</f>
        <v>45953</v>
      </c>
      <c r="B293" s="13" t="n">
        <f aca="false">'Match Results'!B293</f>
        <v>0</v>
      </c>
      <c r="C293" s="13" t="n">
        <v>73</v>
      </c>
      <c r="D293" s="13" t="n">
        <f aca="false">'Match Results'!H74</f>
        <v>0</v>
      </c>
      <c r="E293" s="13" t="str">
        <f aca="false">IF('Match Results'!F74&gt;'Match Results'!E74,"Win",IF('Match Results'!E74='Match Results'!F74,"Draw","Loss"))</f>
        <v>Draw</v>
      </c>
      <c r="F293" s="13" t="n">
        <f aca="false">IF(E293="Win",3,IF(E293="Draw",2,1))</f>
        <v>2</v>
      </c>
    </row>
    <row r="294" customFormat="false" ht="14.25" hidden="false" customHeight="false" outlineLevel="0" collapsed="false">
      <c r="A294" s="13" t="n">
        <f aca="false">'Match Results'!A75</f>
        <v>45953</v>
      </c>
      <c r="B294" s="13" t="n">
        <f aca="false">'Match Results'!B294</f>
        <v>0</v>
      </c>
      <c r="C294" s="13" t="n">
        <v>74</v>
      </c>
      <c r="D294" s="13" t="n">
        <f aca="false">'Match Results'!C75</f>
        <v>0</v>
      </c>
      <c r="E294" s="13" t="str">
        <f aca="false">IF('Match Results'!E75&gt;'Match Results'!F75,"Win",IF('Match Results'!E75='Match Results'!F75,"Draw","Loss"))</f>
        <v>Draw</v>
      </c>
      <c r="F294" s="13" t="n">
        <f aca="false">IF(E294="Win",3,IF(E294="Draw",2,1))</f>
        <v>2</v>
      </c>
    </row>
    <row r="295" customFormat="false" ht="14.25" hidden="false" customHeight="false" outlineLevel="0" collapsed="false">
      <c r="A295" s="13" t="n">
        <f aca="false">'Match Results'!A75</f>
        <v>45953</v>
      </c>
      <c r="B295" s="13" t="n">
        <f aca="false">'Match Results'!B295</f>
        <v>0</v>
      </c>
      <c r="C295" s="13" t="n">
        <v>74</v>
      </c>
      <c r="D295" s="13" t="n">
        <f aca="false">'Match Results'!D75</f>
        <v>0</v>
      </c>
      <c r="E295" s="13" t="str">
        <f aca="false">IF('Match Results'!E75&gt;'Match Results'!F75,"Win",IF('Match Results'!E75='Match Results'!F75,"Draw","Loss"))</f>
        <v>Draw</v>
      </c>
      <c r="F295" s="13" t="n">
        <f aca="false">IF(E295="Win",3,IF(E295="Draw",2,1))</f>
        <v>2</v>
      </c>
    </row>
    <row r="296" customFormat="false" ht="14.25" hidden="false" customHeight="false" outlineLevel="0" collapsed="false">
      <c r="A296" s="13" t="n">
        <f aca="false">'Match Results'!A75</f>
        <v>45953</v>
      </c>
      <c r="B296" s="13" t="n">
        <f aca="false">'Match Results'!B296</f>
        <v>0</v>
      </c>
      <c r="C296" s="13" t="n">
        <v>74</v>
      </c>
      <c r="D296" s="13" t="n">
        <f aca="false">'Match Results'!G75</f>
        <v>0</v>
      </c>
      <c r="E296" s="13" t="str">
        <f aca="false">IF('Match Results'!F75&gt;'Match Results'!E75,"Win",IF('Match Results'!E75='Match Results'!F75,"Draw","Loss"))</f>
        <v>Draw</v>
      </c>
      <c r="F296" s="13" t="n">
        <f aca="false">IF(E296="Win",3,IF(E296="Draw",2,1))</f>
        <v>2</v>
      </c>
    </row>
    <row r="297" customFormat="false" ht="14.25" hidden="false" customHeight="false" outlineLevel="0" collapsed="false">
      <c r="A297" s="13" t="n">
        <f aca="false">'Match Results'!A75</f>
        <v>45953</v>
      </c>
      <c r="B297" s="13" t="n">
        <f aca="false">'Match Results'!B297</f>
        <v>0</v>
      </c>
      <c r="C297" s="13" t="n">
        <v>74</v>
      </c>
      <c r="D297" s="13" t="n">
        <f aca="false">'Match Results'!H75</f>
        <v>0</v>
      </c>
      <c r="E297" s="13" t="str">
        <f aca="false">IF('Match Results'!F75&gt;'Match Results'!E75,"Win",IF('Match Results'!E75='Match Results'!F75,"Draw","Loss"))</f>
        <v>Draw</v>
      </c>
      <c r="F297" s="13" t="n">
        <f aca="false">IF(E297="Win",3,IF(E297="Draw",2,1))</f>
        <v>2</v>
      </c>
    </row>
    <row r="298" customFormat="false" ht="14.25" hidden="false" customHeight="false" outlineLevel="0" collapsed="false">
      <c r="A298" s="13" t="n">
        <f aca="false">'Match Results'!A76</f>
        <v>45953</v>
      </c>
      <c r="B298" s="13" t="n">
        <f aca="false">'Match Results'!B298</f>
        <v>0</v>
      </c>
      <c r="C298" s="13" t="n">
        <v>75</v>
      </c>
      <c r="D298" s="13" t="n">
        <f aca="false">'Match Results'!C76</f>
        <v>0</v>
      </c>
      <c r="E298" s="13" t="str">
        <f aca="false">IF('Match Results'!E76&gt;'Match Results'!F76,"Win",IF('Match Results'!E76='Match Results'!F76,"Draw","Loss"))</f>
        <v>Draw</v>
      </c>
      <c r="F298" s="13" t="n">
        <f aca="false">IF(E298="Win",3,IF(E298="Draw",2,1))</f>
        <v>2</v>
      </c>
    </row>
    <row r="299" customFormat="false" ht="14.25" hidden="false" customHeight="false" outlineLevel="0" collapsed="false">
      <c r="A299" s="13" t="n">
        <f aca="false">'Match Results'!A76</f>
        <v>45953</v>
      </c>
      <c r="B299" s="13" t="n">
        <f aca="false">'Match Results'!B299</f>
        <v>0</v>
      </c>
      <c r="C299" s="13" t="n">
        <v>75</v>
      </c>
      <c r="D299" s="13" t="n">
        <f aca="false">'Match Results'!D76</f>
        <v>0</v>
      </c>
      <c r="E299" s="13" t="str">
        <f aca="false">IF('Match Results'!E76&gt;'Match Results'!F76,"Win",IF('Match Results'!E76='Match Results'!F76,"Draw","Loss"))</f>
        <v>Draw</v>
      </c>
      <c r="F299" s="13" t="n">
        <f aca="false">IF(E299="Win",3,IF(E299="Draw",2,1))</f>
        <v>2</v>
      </c>
    </row>
    <row r="300" customFormat="false" ht="14.25" hidden="false" customHeight="false" outlineLevel="0" collapsed="false">
      <c r="A300" s="13" t="n">
        <f aca="false">'Match Results'!A76</f>
        <v>45953</v>
      </c>
      <c r="B300" s="13" t="n">
        <f aca="false">'Match Results'!B300</f>
        <v>0</v>
      </c>
      <c r="C300" s="13" t="n">
        <v>75</v>
      </c>
      <c r="D300" s="13" t="n">
        <f aca="false">'Match Results'!G76</f>
        <v>0</v>
      </c>
      <c r="E300" s="13" t="str">
        <f aca="false">IF('Match Results'!F76&gt;'Match Results'!E76,"Win",IF('Match Results'!E76='Match Results'!F76,"Draw","Loss"))</f>
        <v>Draw</v>
      </c>
      <c r="F300" s="13" t="n">
        <f aca="false">IF(E300="Win",3,IF(E300="Draw",2,1))</f>
        <v>2</v>
      </c>
    </row>
    <row r="301" customFormat="false" ht="14.25" hidden="false" customHeight="false" outlineLevel="0" collapsed="false">
      <c r="A301" s="13" t="n">
        <f aca="false">'Match Results'!A76</f>
        <v>45953</v>
      </c>
      <c r="B301" s="13" t="n">
        <f aca="false">'Match Results'!B301</f>
        <v>0</v>
      </c>
      <c r="C301" s="13" t="n">
        <v>75</v>
      </c>
      <c r="D301" s="13" t="n">
        <f aca="false">'Match Results'!H76</f>
        <v>0</v>
      </c>
      <c r="E301" s="13" t="str">
        <f aca="false">IF('Match Results'!F76&gt;'Match Results'!E76,"Win",IF('Match Results'!E76='Match Results'!F76,"Draw","Loss"))</f>
        <v>Draw</v>
      </c>
      <c r="F301" s="13" t="n">
        <f aca="false">IF(E301="Win",3,IF(E301="Draw",2,1))</f>
        <v>2</v>
      </c>
    </row>
    <row r="302" customFormat="false" ht="14.25" hidden="false" customHeight="false" outlineLevel="0" collapsed="false">
      <c r="A302" s="13" t="n">
        <f aca="false">'Match Results'!A77</f>
        <v>45953</v>
      </c>
      <c r="B302" s="13" t="n">
        <f aca="false">'Match Results'!B302</f>
        <v>0</v>
      </c>
      <c r="C302" s="13" t="n">
        <v>76</v>
      </c>
      <c r="D302" s="13" t="n">
        <f aca="false">'Match Results'!C77</f>
        <v>0</v>
      </c>
      <c r="E302" s="13" t="str">
        <f aca="false">IF('Match Results'!E77&gt;'Match Results'!F77,"Win",IF('Match Results'!E77='Match Results'!F77,"Draw","Loss"))</f>
        <v>Draw</v>
      </c>
      <c r="F302" s="13" t="n">
        <f aca="false">IF(E302="Win",3,IF(E302="Draw",2,1))</f>
        <v>2</v>
      </c>
    </row>
    <row r="303" customFormat="false" ht="14.25" hidden="false" customHeight="false" outlineLevel="0" collapsed="false">
      <c r="A303" s="13" t="n">
        <f aca="false">'Match Results'!A77</f>
        <v>45953</v>
      </c>
      <c r="B303" s="13" t="n">
        <f aca="false">'Match Results'!B303</f>
        <v>0</v>
      </c>
      <c r="C303" s="13" t="n">
        <v>76</v>
      </c>
      <c r="D303" s="13" t="n">
        <f aca="false">'Match Results'!D77</f>
        <v>0</v>
      </c>
      <c r="E303" s="13" t="str">
        <f aca="false">IF('Match Results'!E77&gt;'Match Results'!F77,"Win",IF('Match Results'!E77='Match Results'!F77,"Draw","Loss"))</f>
        <v>Draw</v>
      </c>
      <c r="F303" s="13" t="n">
        <f aca="false">IF(E303="Win",3,IF(E303="Draw",2,1))</f>
        <v>2</v>
      </c>
    </row>
    <row r="304" customFormat="false" ht="14.25" hidden="false" customHeight="false" outlineLevel="0" collapsed="false">
      <c r="A304" s="13" t="n">
        <f aca="false">'Match Results'!A77</f>
        <v>45953</v>
      </c>
      <c r="B304" s="13" t="n">
        <f aca="false">'Match Results'!B304</f>
        <v>0</v>
      </c>
      <c r="C304" s="13" t="n">
        <v>76</v>
      </c>
      <c r="D304" s="13" t="n">
        <f aca="false">'Match Results'!G77</f>
        <v>0</v>
      </c>
      <c r="E304" s="13" t="str">
        <f aca="false">IF('Match Results'!F77&gt;'Match Results'!E77,"Win",IF('Match Results'!E77='Match Results'!F77,"Draw","Loss"))</f>
        <v>Draw</v>
      </c>
      <c r="F304" s="13" t="n">
        <f aca="false">IF(E304="Win",3,IF(E304="Draw",2,1))</f>
        <v>2</v>
      </c>
    </row>
    <row r="305" customFormat="false" ht="14.25" hidden="false" customHeight="false" outlineLevel="0" collapsed="false">
      <c r="A305" s="13" t="n">
        <f aca="false">'Match Results'!A77</f>
        <v>45953</v>
      </c>
      <c r="B305" s="13" t="n">
        <f aca="false">'Match Results'!B305</f>
        <v>0</v>
      </c>
      <c r="C305" s="13" t="n">
        <v>76</v>
      </c>
      <c r="D305" s="13" t="n">
        <f aca="false">'Match Results'!H77</f>
        <v>0</v>
      </c>
      <c r="E305" s="13" t="str">
        <f aca="false">IF('Match Results'!F77&gt;'Match Results'!E77,"Win",IF('Match Results'!E77='Match Results'!F77,"Draw","Loss"))</f>
        <v>Draw</v>
      </c>
      <c r="F305" s="13" t="n">
        <f aca="false">IF(E305="Win",3,IF(E305="Draw",2,1))</f>
        <v>2</v>
      </c>
    </row>
    <row r="306" customFormat="false" ht="14.25" hidden="false" customHeight="false" outlineLevel="0" collapsed="false">
      <c r="A306" s="13" t="n">
        <f aca="false">'Match Results'!A78</f>
        <v>45953</v>
      </c>
      <c r="B306" s="13" t="n">
        <f aca="false">'Match Results'!B306</f>
        <v>0</v>
      </c>
      <c r="C306" s="13" t="n">
        <v>77</v>
      </c>
      <c r="D306" s="13" t="n">
        <f aca="false">'Match Results'!C78</f>
        <v>0</v>
      </c>
      <c r="E306" s="13" t="str">
        <f aca="false">IF('Match Results'!E78&gt;'Match Results'!F78,"Win",IF('Match Results'!E78='Match Results'!F78,"Draw","Loss"))</f>
        <v>Draw</v>
      </c>
      <c r="F306" s="13" t="n">
        <f aca="false">IF(E306="Win",3,IF(E306="Draw",2,1))</f>
        <v>2</v>
      </c>
    </row>
    <row r="307" customFormat="false" ht="14.25" hidden="false" customHeight="false" outlineLevel="0" collapsed="false">
      <c r="A307" s="13" t="n">
        <f aca="false">'Match Results'!A78</f>
        <v>45953</v>
      </c>
      <c r="B307" s="13" t="n">
        <f aca="false">'Match Results'!B307</f>
        <v>0</v>
      </c>
      <c r="C307" s="13" t="n">
        <v>77</v>
      </c>
      <c r="D307" s="13" t="n">
        <f aca="false">'Match Results'!D78</f>
        <v>0</v>
      </c>
      <c r="E307" s="13" t="str">
        <f aca="false">IF('Match Results'!E78&gt;'Match Results'!F78,"Win",IF('Match Results'!E78='Match Results'!F78,"Draw","Loss"))</f>
        <v>Draw</v>
      </c>
      <c r="F307" s="13" t="n">
        <f aca="false">IF(E307="Win",3,IF(E307="Draw",2,1))</f>
        <v>2</v>
      </c>
    </row>
    <row r="308" customFormat="false" ht="14.25" hidden="false" customHeight="false" outlineLevel="0" collapsed="false">
      <c r="A308" s="13" t="n">
        <f aca="false">'Match Results'!A78</f>
        <v>45953</v>
      </c>
      <c r="B308" s="13" t="n">
        <f aca="false">'Match Results'!B308</f>
        <v>0</v>
      </c>
      <c r="C308" s="13" t="n">
        <v>77</v>
      </c>
      <c r="D308" s="13" t="n">
        <f aca="false">'Match Results'!G78</f>
        <v>0</v>
      </c>
      <c r="E308" s="13" t="str">
        <f aca="false">IF('Match Results'!F78&gt;'Match Results'!E78,"Win",IF('Match Results'!E78='Match Results'!F78,"Draw","Loss"))</f>
        <v>Draw</v>
      </c>
      <c r="F308" s="13" t="n">
        <f aca="false">IF(E308="Win",3,IF(E308="Draw",2,1))</f>
        <v>2</v>
      </c>
    </row>
    <row r="309" customFormat="false" ht="14.25" hidden="false" customHeight="false" outlineLevel="0" collapsed="false">
      <c r="A309" s="13" t="n">
        <f aca="false">'Match Results'!A78</f>
        <v>45953</v>
      </c>
      <c r="B309" s="13" t="n">
        <f aca="false">'Match Results'!B309</f>
        <v>0</v>
      </c>
      <c r="C309" s="13" t="n">
        <v>77</v>
      </c>
      <c r="D309" s="13" t="n">
        <f aca="false">'Match Results'!H78</f>
        <v>0</v>
      </c>
      <c r="E309" s="13" t="str">
        <f aca="false">IF('Match Results'!F78&gt;'Match Results'!E78,"Win",IF('Match Results'!E78='Match Results'!F78,"Draw","Loss"))</f>
        <v>Draw</v>
      </c>
      <c r="F309" s="13" t="n">
        <f aca="false">IF(E309="Win",3,IF(E309="Draw",2,1))</f>
        <v>2</v>
      </c>
    </row>
    <row r="310" customFormat="false" ht="14.25" hidden="false" customHeight="false" outlineLevel="0" collapsed="false">
      <c r="A310" s="13" t="n">
        <f aca="false">'Match Results'!A79</f>
        <v>45953</v>
      </c>
      <c r="B310" s="13" t="n">
        <f aca="false">'Match Results'!B310</f>
        <v>0</v>
      </c>
      <c r="C310" s="13" t="n">
        <v>78</v>
      </c>
      <c r="D310" s="13" t="n">
        <f aca="false">'Match Results'!C79</f>
        <v>0</v>
      </c>
      <c r="E310" s="13" t="str">
        <f aca="false">IF('Match Results'!E79&gt;'Match Results'!F79,"Win",IF('Match Results'!E79='Match Results'!F79,"Draw","Loss"))</f>
        <v>Draw</v>
      </c>
      <c r="F310" s="13" t="n">
        <f aca="false">IF(E310="Win",3,IF(E310="Draw",2,1))</f>
        <v>2</v>
      </c>
    </row>
    <row r="311" customFormat="false" ht="14.25" hidden="false" customHeight="false" outlineLevel="0" collapsed="false">
      <c r="A311" s="13" t="n">
        <f aca="false">'Match Results'!A79</f>
        <v>45953</v>
      </c>
      <c r="B311" s="13" t="n">
        <f aca="false">'Match Results'!B311</f>
        <v>0</v>
      </c>
      <c r="C311" s="13" t="n">
        <v>78</v>
      </c>
      <c r="D311" s="13" t="n">
        <f aca="false">'Match Results'!D79</f>
        <v>0</v>
      </c>
      <c r="E311" s="13" t="str">
        <f aca="false">IF('Match Results'!E79&gt;'Match Results'!F79,"Win",IF('Match Results'!E79='Match Results'!F79,"Draw","Loss"))</f>
        <v>Draw</v>
      </c>
      <c r="F311" s="13" t="n">
        <f aca="false">IF(E311="Win",3,IF(E311="Draw",2,1))</f>
        <v>2</v>
      </c>
    </row>
    <row r="312" customFormat="false" ht="14.25" hidden="false" customHeight="false" outlineLevel="0" collapsed="false">
      <c r="A312" s="13" t="n">
        <f aca="false">'Match Results'!A79</f>
        <v>45953</v>
      </c>
      <c r="B312" s="13" t="n">
        <f aca="false">'Match Results'!B312</f>
        <v>0</v>
      </c>
      <c r="C312" s="13" t="n">
        <v>78</v>
      </c>
      <c r="D312" s="13" t="n">
        <f aca="false">'Match Results'!G79</f>
        <v>0</v>
      </c>
      <c r="E312" s="13" t="str">
        <f aca="false">IF('Match Results'!F79&gt;'Match Results'!E79,"Win",IF('Match Results'!E79='Match Results'!F79,"Draw","Loss"))</f>
        <v>Draw</v>
      </c>
      <c r="F312" s="13" t="n">
        <f aca="false">IF(E312="Win",3,IF(E312="Draw",2,1))</f>
        <v>2</v>
      </c>
    </row>
    <row r="313" customFormat="false" ht="14.25" hidden="false" customHeight="false" outlineLevel="0" collapsed="false">
      <c r="A313" s="13" t="n">
        <f aca="false">'Match Results'!A79</f>
        <v>45953</v>
      </c>
      <c r="B313" s="13" t="n">
        <f aca="false">'Match Results'!B313</f>
        <v>0</v>
      </c>
      <c r="C313" s="13" t="n">
        <v>78</v>
      </c>
      <c r="D313" s="13" t="n">
        <f aca="false">'Match Results'!H79</f>
        <v>0</v>
      </c>
      <c r="E313" s="13" t="str">
        <f aca="false">IF('Match Results'!F79&gt;'Match Results'!E79,"Win",IF('Match Results'!E79='Match Results'!F79,"Draw","Loss"))</f>
        <v>Draw</v>
      </c>
      <c r="F313" s="13" t="n">
        <f aca="false">IF(E313="Win",3,IF(E313="Draw",2,1))</f>
        <v>2</v>
      </c>
    </row>
    <row r="314" customFormat="false" ht="14.25" hidden="false" customHeight="false" outlineLevel="0" collapsed="false">
      <c r="A314" s="13" t="n">
        <f aca="false">'Match Results'!A80</f>
        <v>45953</v>
      </c>
      <c r="B314" s="13" t="n">
        <f aca="false">'Match Results'!B314</f>
        <v>0</v>
      </c>
      <c r="C314" s="13" t="n">
        <v>79</v>
      </c>
      <c r="D314" s="13" t="n">
        <f aca="false">'Match Results'!C80</f>
        <v>0</v>
      </c>
      <c r="E314" s="13" t="str">
        <f aca="false">IF('Match Results'!E80&gt;'Match Results'!F80,"Win",IF('Match Results'!E80='Match Results'!F80,"Draw","Loss"))</f>
        <v>Draw</v>
      </c>
      <c r="F314" s="13" t="n">
        <f aca="false">IF(E314="Win",3,IF(E314="Draw",2,1))</f>
        <v>2</v>
      </c>
    </row>
    <row r="315" customFormat="false" ht="14.25" hidden="false" customHeight="false" outlineLevel="0" collapsed="false">
      <c r="A315" s="13" t="n">
        <f aca="false">'Match Results'!A80</f>
        <v>45953</v>
      </c>
      <c r="B315" s="13" t="n">
        <f aca="false">'Match Results'!B315</f>
        <v>0</v>
      </c>
      <c r="C315" s="13" t="n">
        <v>79</v>
      </c>
      <c r="D315" s="13" t="n">
        <f aca="false">'Match Results'!D80</f>
        <v>0</v>
      </c>
      <c r="E315" s="13" t="str">
        <f aca="false">IF('Match Results'!E80&gt;'Match Results'!F80,"Win",IF('Match Results'!E80='Match Results'!F80,"Draw","Loss"))</f>
        <v>Draw</v>
      </c>
      <c r="F315" s="13" t="n">
        <f aca="false">IF(E315="Win",3,IF(E315="Draw",2,1))</f>
        <v>2</v>
      </c>
    </row>
    <row r="316" customFormat="false" ht="14.25" hidden="false" customHeight="false" outlineLevel="0" collapsed="false">
      <c r="A316" s="13" t="n">
        <f aca="false">'Match Results'!A80</f>
        <v>45953</v>
      </c>
      <c r="B316" s="13" t="n">
        <f aca="false">'Match Results'!B316</f>
        <v>0</v>
      </c>
      <c r="C316" s="13" t="n">
        <v>79</v>
      </c>
      <c r="D316" s="13" t="n">
        <f aca="false">'Match Results'!G80</f>
        <v>0</v>
      </c>
      <c r="E316" s="13" t="str">
        <f aca="false">IF('Match Results'!F80&gt;'Match Results'!E80,"Win",IF('Match Results'!E80='Match Results'!F80,"Draw","Loss"))</f>
        <v>Draw</v>
      </c>
      <c r="F316" s="13" t="n">
        <f aca="false">IF(E316="Win",3,IF(E316="Draw",2,1))</f>
        <v>2</v>
      </c>
    </row>
    <row r="317" customFormat="false" ht="14.25" hidden="false" customHeight="false" outlineLevel="0" collapsed="false">
      <c r="A317" s="13" t="n">
        <f aca="false">'Match Results'!A80</f>
        <v>45953</v>
      </c>
      <c r="B317" s="13" t="n">
        <f aca="false">'Match Results'!B317</f>
        <v>0</v>
      </c>
      <c r="C317" s="13" t="n">
        <v>79</v>
      </c>
      <c r="D317" s="13" t="n">
        <f aca="false">'Match Results'!H80</f>
        <v>0</v>
      </c>
      <c r="E317" s="13" t="str">
        <f aca="false">IF('Match Results'!F80&gt;'Match Results'!E80,"Win",IF('Match Results'!E80='Match Results'!F80,"Draw","Loss"))</f>
        <v>Draw</v>
      </c>
      <c r="F317" s="13" t="n">
        <f aca="false">IF(E317="Win",3,IF(E317="Draw",2,1))</f>
        <v>2</v>
      </c>
    </row>
    <row r="318" customFormat="false" ht="14.25" hidden="false" customHeight="false" outlineLevel="0" collapsed="false">
      <c r="A318" s="13" t="n">
        <f aca="false">'Match Results'!A81</f>
        <v>45953</v>
      </c>
      <c r="B318" s="13" t="n">
        <f aca="false">'Match Results'!B318</f>
        <v>0</v>
      </c>
      <c r="C318" s="13" t="n">
        <v>80</v>
      </c>
      <c r="D318" s="13" t="n">
        <f aca="false">'Match Results'!C81</f>
        <v>0</v>
      </c>
      <c r="E318" s="13" t="str">
        <f aca="false">IF('Match Results'!E81&gt;'Match Results'!F81,"Win",IF('Match Results'!E81='Match Results'!F81,"Draw","Loss"))</f>
        <v>Draw</v>
      </c>
      <c r="F318" s="13" t="n">
        <f aca="false">IF(E318="Win",3,IF(E318="Draw",2,1))</f>
        <v>2</v>
      </c>
    </row>
    <row r="319" customFormat="false" ht="14.25" hidden="false" customHeight="false" outlineLevel="0" collapsed="false">
      <c r="A319" s="13" t="n">
        <f aca="false">'Match Results'!A81</f>
        <v>45953</v>
      </c>
      <c r="B319" s="13" t="n">
        <f aca="false">'Match Results'!B319</f>
        <v>0</v>
      </c>
      <c r="C319" s="13" t="n">
        <v>80</v>
      </c>
      <c r="D319" s="13" t="n">
        <f aca="false">'Match Results'!D81</f>
        <v>0</v>
      </c>
      <c r="E319" s="13" t="str">
        <f aca="false">IF('Match Results'!E81&gt;'Match Results'!F81,"Win",IF('Match Results'!E81='Match Results'!F81,"Draw","Loss"))</f>
        <v>Draw</v>
      </c>
      <c r="F319" s="13" t="n">
        <f aca="false">IF(E319="Win",3,IF(E319="Draw",2,1))</f>
        <v>2</v>
      </c>
    </row>
    <row r="320" customFormat="false" ht="14.25" hidden="false" customHeight="false" outlineLevel="0" collapsed="false">
      <c r="A320" s="13" t="n">
        <f aca="false">'Match Results'!A81</f>
        <v>45953</v>
      </c>
      <c r="B320" s="13" t="n">
        <f aca="false">'Match Results'!B320</f>
        <v>0</v>
      </c>
      <c r="C320" s="13" t="n">
        <v>80</v>
      </c>
      <c r="D320" s="13" t="n">
        <f aca="false">'Match Results'!G81</f>
        <v>0</v>
      </c>
      <c r="E320" s="13" t="str">
        <f aca="false">IF('Match Results'!F81&gt;'Match Results'!E81,"Win",IF('Match Results'!E81='Match Results'!F81,"Draw","Loss"))</f>
        <v>Draw</v>
      </c>
      <c r="F320" s="13" t="n">
        <f aca="false">IF(E320="Win",3,IF(E320="Draw",2,1))</f>
        <v>2</v>
      </c>
    </row>
    <row r="321" customFormat="false" ht="14.25" hidden="false" customHeight="false" outlineLevel="0" collapsed="false">
      <c r="A321" s="13" t="n">
        <f aca="false">'Match Results'!A81</f>
        <v>45953</v>
      </c>
      <c r="B321" s="13" t="n">
        <f aca="false">'Match Results'!B321</f>
        <v>0</v>
      </c>
      <c r="C321" s="13" t="n">
        <v>80</v>
      </c>
      <c r="D321" s="13" t="n">
        <f aca="false">'Match Results'!H81</f>
        <v>0</v>
      </c>
      <c r="E321" s="13" t="str">
        <f aca="false">IF('Match Results'!F81&gt;'Match Results'!E81,"Win",IF('Match Results'!E81='Match Results'!F81,"Draw","Loss"))</f>
        <v>Draw</v>
      </c>
      <c r="F321" s="13" t="n">
        <f aca="false">IF(E321="Win",3,IF(E321="Draw",2,1))</f>
        <v>2</v>
      </c>
    </row>
    <row r="322" customFormat="false" ht="14.25" hidden="false" customHeight="false" outlineLevel="0" collapsed="false">
      <c r="A322" s="13" t="n">
        <f aca="false">'Match Results'!A82</f>
        <v>45960</v>
      </c>
      <c r="B322" s="13" t="n">
        <f aca="false">'Match Results'!B322</f>
        <v>0</v>
      </c>
      <c r="C322" s="13" t="n">
        <v>81</v>
      </c>
      <c r="D322" s="13" t="n">
        <f aca="false">'Match Results'!C82</f>
        <v>0</v>
      </c>
      <c r="E322" s="13" t="str">
        <f aca="false">IF('Match Results'!E82&gt;'Match Results'!F82,"Win",IF('Match Results'!E82='Match Results'!F82,"Draw","Loss"))</f>
        <v>Draw</v>
      </c>
      <c r="F322" s="13" t="n">
        <f aca="false">IF(E322="Win",3,IF(E322="Draw",2,1))</f>
        <v>2</v>
      </c>
    </row>
    <row r="323" customFormat="false" ht="14.25" hidden="false" customHeight="false" outlineLevel="0" collapsed="false">
      <c r="A323" s="13" t="n">
        <f aca="false">'Match Results'!A82</f>
        <v>45960</v>
      </c>
      <c r="B323" s="13" t="n">
        <f aca="false">'Match Results'!B323</f>
        <v>0</v>
      </c>
      <c r="C323" s="13" t="n">
        <v>81</v>
      </c>
      <c r="D323" s="13" t="n">
        <f aca="false">'Match Results'!D82</f>
        <v>0</v>
      </c>
      <c r="E323" s="13" t="str">
        <f aca="false">IF('Match Results'!E82&gt;'Match Results'!F82,"Win",IF('Match Results'!E82='Match Results'!F82,"Draw","Loss"))</f>
        <v>Draw</v>
      </c>
      <c r="F323" s="13" t="n">
        <f aca="false">IF(E323="Win",3,IF(E323="Draw",2,1))</f>
        <v>2</v>
      </c>
    </row>
    <row r="324" customFormat="false" ht="14.25" hidden="false" customHeight="false" outlineLevel="0" collapsed="false">
      <c r="A324" s="13" t="n">
        <f aca="false">'Match Results'!A82</f>
        <v>45960</v>
      </c>
      <c r="B324" s="13" t="n">
        <f aca="false">'Match Results'!B324</f>
        <v>0</v>
      </c>
      <c r="C324" s="13" t="n">
        <v>81</v>
      </c>
      <c r="D324" s="13" t="n">
        <f aca="false">'Match Results'!G82</f>
        <v>0</v>
      </c>
      <c r="E324" s="13" t="str">
        <f aca="false">IF('Match Results'!F82&gt;'Match Results'!E82,"Win",IF('Match Results'!E82='Match Results'!F82,"Draw","Loss"))</f>
        <v>Draw</v>
      </c>
      <c r="F324" s="13" t="n">
        <f aca="false">IF(E324="Win",3,IF(E324="Draw",2,1))</f>
        <v>2</v>
      </c>
    </row>
    <row r="325" customFormat="false" ht="14.25" hidden="false" customHeight="false" outlineLevel="0" collapsed="false">
      <c r="A325" s="13" t="n">
        <f aca="false">'Match Results'!A82</f>
        <v>45960</v>
      </c>
      <c r="B325" s="13" t="n">
        <f aca="false">'Match Results'!B325</f>
        <v>0</v>
      </c>
      <c r="C325" s="13" t="n">
        <v>81</v>
      </c>
      <c r="D325" s="13" t="n">
        <f aca="false">'Match Results'!H82</f>
        <v>0</v>
      </c>
      <c r="E325" s="13" t="str">
        <f aca="false">IF('Match Results'!F82&gt;'Match Results'!E82,"Win",IF('Match Results'!E82='Match Results'!F82,"Draw","Loss"))</f>
        <v>Draw</v>
      </c>
      <c r="F325" s="13" t="n">
        <f aca="false">IF(E325="Win",3,IF(E325="Draw",2,1))</f>
        <v>2</v>
      </c>
    </row>
    <row r="326" customFormat="false" ht="14.25" hidden="false" customHeight="false" outlineLevel="0" collapsed="false">
      <c r="A326" s="13" t="n">
        <f aca="false">'Match Results'!A83</f>
        <v>45960</v>
      </c>
      <c r="B326" s="13" t="n">
        <f aca="false">'Match Results'!B326</f>
        <v>0</v>
      </c>
      <c r="C326" s="13" t="n">
        <v>82</v>
      </c>
      <c r="D326" s="13" t="n">
        <f aca="false">'Match Results'!C83</f>
        <v>0</v>
      </c>
      <c r="E326" s="13" t="str">
        <f aca="false">IF('Match Results'!E83&gt;'Match Results'!F83,"Win",IF('Match Results'!E83='Match Results'!F83,"Draw","Loss"))</f>
        <v>Draw</v>
      </c>
      <c r="F326" s="13" t="n">
        <f aca="false">IF(E326="Win",3,IF(E326="Draw",2,1))</f>
        <v>2</v>
      </c>
    </row>
    <row r="327" customFormat="false" ht="14.25" hidden="false" customHeight="false" outlineLevel="0" collapsed="false">
      <c r="A327" s="13" t="n">
        <f aca="false">'Match Results'!A83</f>
        <v>45960</v>
      </c>
      <c r="B327" s="13" t="n">
        <f aca="false">'Match Results'!B327</f>
        <v>0</v>
      </c>
      <c r="C327" s="13" t="n">
        <v>82</v>
      </c>
      <c r="D327" s="13" t="n">
        <f aca="false">'Match Results'!D83</f>
        <v>0</v>
      </c>
      <c r="E327" s="13" t="str">
        <f aca="false">IF('Match Results'!E83&gt;'Match Results'!F83,"Win",IF('Match Results'!E83='Match Results'!F83,"Draw","Loss"))</f>
        <v>Draw</v>
      </c>
      <c r="F327" s="13" t="n">
        <f aca="false">IF(E327="Win",3,IF(E327="Draw",2,1))</f>
        <v>2</v>
      </c>
    </row>
    <row r="328" customFormat="false" ht="14.25" hidden="false" customHeight="false" outlineLevel="0" collapsed="false">
      <c r="A328" s="13" t="n">
        <f aca="false">'Match Results'!A83</f>
        <v>45960</v>
      </c>
      <c r="B328" s="13" t="n">
        <f aca="false">'Match Results'!B328</f>
        <v>0</v>
      </c>
      <c r="C328" s="13" t="n">
        <v>82</v>
      </c>
      <c r="D328" s="13" t="n">
        <f aca="false">'Match Results'!G83</f>
        <v>0</v>
      </c>
      <c r="E328" s="13" t="str">
        <f aca="false">IF('Match Results'!F83&gt;'Match Results'!E83,"Win",IF('Match Results'!E83='Match Results'!F83,"Draw","Loss"))</f>
        <v>Draw</v>
      </c>
      <c r="F328" s="13" t="n">
        <f aca="false">IF(E328="Win",3,IF(E328="Draw",2,1))</f>
        <v>2</v>
      </c>
    </row>
    <row r="329" customFormat="false" ht="14.25" hidden="false" customHeight="false" outlineLevel="0" collapsed="false">
      <c r="A329" s="13" t="n">
        <f aca="false">'Match Results'!A83</f>
        <v>45960</v>
      </c>
      <c r="B329" s="13" t="n">
        <f aca="false">'Match Results'!B329</f>
        <v>0</v>
      </c>
      <c r="C329" s="13" t="n">
        <v>82</v>
      </c>
      <c r="D329" s="13" t="n">
        <f aca="false">'Match Results'!H83</f>
        <v>0</v>
      </c>
      <c r="E329" s="13" t="str">
        <f aca="false">IF('Match Results'!F83&gt;'Match Results'!E83,"Win",IF('Match Results'!E83='Match Results'!F83,"Draw","Loss"))</f>
        <v>Draw</v>
      </c>
      <c r="F329" s="13" t="n">
        <f aca="false">IF(E329="Win",3,IF(E329="Draw",2,1))</f>
        <v>2</v>
      </c>
    </row>
    <row r="330" customFormat="false" ht="14.25" hidden="false" customHeight="false" outlineLevel="0" collapsed="false">
      <c r="A330" s="13" t="n">
        <f aca="false">'Match Results'!A84</f>
        <v>45960</v>
      </c>
      <c r="B330" s="13" t="n">
        <f aca="false">'Match Results'!B330</f>
        <v>0</v>
      </c>
      <c r="C330" s="13" t="n">
        <v>83</v>
      </c>
      <c r="D330" s="13" t="n">
        <f aca="false">'Match Results'!C84</f>
        <v>0</v>
      </c>
      <c r="E330" s="13" t="str">
        <f aca="false">IF('Match Results'!E84&gt;'Match Results'!F84,"Win",IF('Match Results'!E84='Match Results'!F84,"Draw","Loss"))</f>
        <v>Draw</v>
      </c>
      <c r="F330" s="13" t="n">
        <f aca="false">IF(E330="Win",3,IF(E330="Draw",2,1))</f>
        <v>2</v>
      </c>
    </row>
    <row r="331" customFormat="false" ht="14.25" hidden="false" customHeight="false" outlineLevel="0" collapsed="false">
      <c r="A331" s="13" t="n">
        <f aca="false">'Match Results'!A84</f>
        <v>45960</v>
      </c>
      <c r="B331" s="13" t="n">
        <f aca="false">'Match Results'!B331</f>
        <v>0</v>
      </c>
      <c r="C331" s="13" t="n">
        <v>83</v>
      </c>
      <c r="D331" s="13" t="n">
        <f aca="false">'Match Results'!D84</f>
        <v>0</v>
      </c>
      <c r="E331" s="13" t="str">
        <f aca="false">IF('Match Results'!E84&gt;'Match Results'!F84,"Win",IF('Match Results'!E84='Match Results'!F84,"Draw","Loss"))</f>
        <v>Draw</v>
      </c>
      <c r="F331" s="13" t="n">
        <f aca="false">IF(E331="Win",3,IF(E331="Draw",2,1))</f>
        <v>2</v>
      </c>
    </row>
    <row r="332" customFormat="false" ht="14.25" hidden="false" customHeight="false" outlineLevel="0" collapsed="false">
      <c r="A332" s="13" t="n">
        <f aca="false">'Match Results'!A84</f>
        <v>45960</v>
      </c>
      <c r="B332" s="13" t="n">
        <f aca="false">'Match Results'!B332</f>
        <v>0</v>
      </c>
      <c r="C332" s="13" t="n">
        <v>83</v>
      </c>
      <c r="D332" s="13" t="n">
        <f aca="false">'Match Results'!G84</f>
        <v>0</v>
      </c>
      <c r="E332" s="13" t="str">
        <f aca="false">IF('Match Results'!F84&gt;'Match Results'!E84,"Win",IF('Match Results'!E84='Match Results'!F84,"Draw","Loss"))</f>
        <v>Draw</v>
      </c>
      <c r="F332" s="13" t="n">
        <f aca="false">IF(E332="Win",3,IF(E332="Draw",2,1))</f>
        <v>2</v>
      </c>
    </row>
    <row r="333" customFormat="false" ht="14.25" hidden="false" customHeight="false" outlineLevel="0" collapsed="false">
      <c r="A333" s="13" t="n">
        <f aca="false">'Match Results'!A84</f>
        <v>45960</v>
      </c>
      <c r="B333" s="13" t="n">
        <f aca="false">'Match Results'!B333</f>
        <v>0</v>
      </c>
      <c r="C333" s="13" t="n">
        <v>83</v>
      </c>
      <c r="D333" s="13" t="n">
        <f aca="false">'Match Results'!H84</f>
        <v>0</v>
      </c>
      <c r="E333" s="13" t="str">
        <f aca="false">IF('Match Results'!F84&gt;'Match Results'!E84,"Win",IF('Match Results'!E84='Match Results'!F84,"Draw","Loss"))</f>
        <v>Draw</v>
      </c>
      <c r="F333" s="13" t="n">
        <f aca="false">IF(E333="Win",3,IF(E333="Draw",2,1))</f>
        <v>2</v>
      </c>
    </row>
    <row r="334" customFormat="false" ht="14.25" hidden="false" customHeight="false" outlineLevel="0" collapsed="false">
      <c r="A334" s="13" t="n">
        <f aca="false">'Match Results'!A85</f>
        <v>45960</v>
      </c>
      <c r="B334" s="13" t="n">
        <f aca="false">'Match Results'!B334</f>
        <v>0</v>
      </c>
      <c r="C334" s="13" t="n">
        <v>84</v>
      </c>
      <c r="D334" s="13" t="n">
        <f aca="false">'Match Results'!C85</f>
        <v>0</v>
      </c>
      <c r="E334" s="13" t="str">
        <f aca="false">IF('Match Results'!E85&gt;'Match Results'!F85,"Win",IF('Match Results'!E85='Match Results'!F85,"Draw","Loss"))</f>
        <v>Draw</v>
      </c>
      <c r="F334" s="13" t="n">
        <f aca="false">IF(E334="Win",3,IF(E334="Draw",2,1))</f>
        <v>2</v>
      </c>
    </row>
    <row r="335" customFormat="false" ht="14.25" hidden="false" customHeight="false" outlineLevel="0" collapsed="false">
      <c r="A335" s="13" t="n">
        <f aca="false">'Match Results'!A85</f>
        <v>45960</v>
      </c>
      <c r="B335" s="13" t="n">
        <f aca="false">'Match Results'!B335</f>
        <v>0</v>
      </c>
      <c r="C335" s="13" t="n">
        <v>84</v>
      </c>
      <c r="D335" s="13" t="n">
        <f aca="false">'Match Results'!D85</f>
        <v>0</v>
      </c>
      <c r="E335" s="13" t="str">
        <f aca="false">IF('Match Results'!E85&gt;'Match Results'!F85,"Win",IF('Match Results'!E85='Match Results'!F85,"Draw","Loss"))</f>
        <v>Draw</v>
      </c>
      <c r="F335" s="13" t="n">
        <f aca="false">IF(E335="Win",3,IF(E335="Draw",2,1))</f>
        <v>2</v>
      </c>
    </row>
    <row r="336" customFormat="false" ht="14.25" hidden="false" customHeight="false" outlineLevel="0" collapsed="false">
      <c r="A336" s="13" t="n">
        <f aca="false">'Match Results'!A85</f>
        <v>45960</v>
      </c>
      <c r="B336" s="13" t="n">
        <f aca="false">'Match Results'!B336</f>
        <v>0</v>
      </c>
      <c r="C336" s="13" t="n">
        <v>84</v>
      </c>
      <c r="D336" s="13" t="n">
        <f aca="false">'Match Results'!G85</f>
        <v>0</v>
      </c>
      <c r="E336" s="13" t="str">
        <f aca="false">IF('Match Results'!F85&gt;'Match Results'!E85,"Win",IF('Match Results'!E85='Match Results'!F85,"Draw","Loss"))</f>
        <v>Draw</v>
      </c>
      <c r="F336" s="13" t="n">
        <f aca="false">IF(E336="Win",3,IF(E336="Draw",2,1))</f>
        <v>2</v>
      </c>
    </row>
    <row r="337" customFormat="false" ht="14.25" hidden="false" customHeight="false" outlineLevel="0" collapsed="false">
      <c r="A337" s="13" t="n">
        <f aca="false">'Match Results'!A85</f>
        <v>45960</v>
      </c>
      <c r="B337" s="13" t="n">
        <f aca="false">'Match Results'!B337</f>
        <v>0</v>
      </c>
      <c r="C337" s="13" t="n">
        <v>84</v>
      </c>
      <c r="D337" s="13" t="n">
        <f aca="false">'Match Results'!H85</f>
        <v>0</v>
      </c>
      <c r="E337" s="13" t="str">
        <f aca="false">IF('Match Results'!F85&gt;'Match Results'!E85,"Win",IF('Match Results'!E85='Match Results'!F85,"Draw","Loss"))</f>
        <v>Draw</v>
      </c>
      <c r="F337" s="13" t="n">
        <f aca="false">IF(E337="Win",3,IF(E337="Draw",2,1))</f>
        <v>2</v>
      </c>
    </row>
    <row r="338" customFormat="false" ht="14.25" hidden="false" customHeight="false" outlineLevel="0" collapsed="false">
      <c r="A338" s="13" t="n">
        <f aca="false">'Match Results'!A86</f>
        <v>45960</v>
      </c>
      <c r="B338" s="13" t="n">
        <f aca="false">'Match Results'!B338</f>
        <v>0</v>
      </c>
      <c r="C338" s="13" t="n">
        <v>85</v>
      </c>
      <c r="D338" s="13" t="n">
        <f aca="false">'Match Results'!C86</f>
        <v>0</v>
      </c>
      <c r="E338" s="13" t="str">
        <f aca="false">IF('Match Results'!E86&gt;'Match Results'!F86,"Win",IF('Match Results'!E86='Match Results'!F86,"Draw","Loss"))</f>
        <v>Draw</v>
      </c>
      <c r="F338" s="13" t="n">
        <f aca="false">IF(E338="Win",3,IF(E338="Draw",2,1))</f>
        <v>2</v>
      </c>
    </row>
    <row r="339" customFormat="false" ht="14.25" hidden="false" customHeight="false" outlineLevel="0" collapsed="false">
      <c r="A339" s="13" t="n">
        <f aca="false">'Match Results'!A86</f>
        <v>45960</v>
      </c>
      <c r="B339" s="13" t="n">
        <f aca="false">'Match Results'!B339</f>
        <v>0</v>
      </c>
      <c r="C339" s="13" t="n">
        <v>85</v>
      </c>
      <c r="D339" s="13" t="n">
        <f aca="false">'Match Results'!D86</f>
        <v>0</v>
      </c>
      <c r="E339" s="13" t="str">
        <f aca="false">IF('Match Results'!E86&gt;'Match Results'!F86,"Win",IF('Match Results'!E86='Match Results'!F86,"Draw","Loss"))</f>
        <v>Draw</v>
      </c>
      <c r="F339" s="13" t="n">
        <f aca="false">IF(E339="Win",3,IF(E339="Draw",2,1))</f>
        <v>2</v>
      </c>
    </row>
    <row r="340" customFormat="false" ht="14.25" hidden="false" customHeight="false" outlineLevel="0" collapsed="false">
      <c r="A340" s="13" t="n">
        <f aca="false">'Match Results'!A86</f>
        <v>45960</v>
      </c>
      <c r="B340" s="13" t="n">
        <f aca="false">'Match Results'!B340</f>
        <v>0</v>
      </c>
      <c r="C340" s="13" t="n">
        <v>85</v>
      </c>
      <c r="D340" s="13" t="n">
        <f aca="false">'Match Results'!G86</f>
        <v>0</v>
      </c>
      <c r="E340" s="13" t="str">
        <f aca="false">IF('Match Results'!F86&gt;'Match Results'!E86,"Win",IF('Match Results'!E86='Match Results'!F86,"Draw","Loss"))</f>
        <v>Draw</v>
      </c>
      <c r="F340" s="13" t="n">
        <f aca="false">IF(E340="Win",3,IF(E340="Draw",2,1))</f>
        <v>2</v>
      </c>
    </row>
    <row r="341" customFormat="false" ht="14.25" hidden="false" customHeight="false" outlineLevel="0" collapsed="false">
      <c r="A341" s="13" t="n">
        <f aca="false">'Match Results'!A86</f>
        <v>45960</v>
      </c>
      <c r="B341" s="13" t="n">
        <f aca="false">'Match Results'!B341</f>
        <v>0</v>
      </c>
      <c r="C341" s="13" t="n">
        <v>85</v>
      </c>
      <c r="D341" s="13" t="n">
        <f aca="false">'Match Results'!H86</f>
        <v>0</v>
      </c>
      <c r="E341" s="13" t="str">
        <f aca="false">IF('Match Results'!F86&gt;'Match Results'!E86,"Win",IF('Match Results'!E86='Match Results'!F86,"Draw","Loss"))</f>
        <v>Draw</v>
      </c>
      <c r="F341" s="13" t="n">
        <f aca="false">IF(E341="Win",3,IF(E341="Draw",2,1))</f>
        <v>2</v>
      </c>
    </row>
    <row r="342" customFormat="false" ht="14.25" hidden="false" customHeight="false" outlineLevel="0" collapsed="false">
      <c r="A342" s="13" t="n">
        <f aca="false">'Match Results'!A87</f>
        <v>45960</v>
      </c>
      <c r="B342" s="13" t="n">
        <f aca="false">'Match Results'!B342</f>
        <v>0</v>
      </c>
      <c r="C342" s="13" t="n">
        <v>86</v>
      </c>
      <c r="D342" s="13" t="n">
        <f aca="false">'Match Results'!C87</f>
        <v>0</v>
      </c>
      <c r="E342" s="13" t="str">
        <f aca="false">IF('Match Results'!E87&gt;'Match Results'!F87,"Win",IF('Match Results'!E87='Match Results'!F87,"Draw","Loss"))</f>
        <v>Draw</v>
      </c>
      <c r="F342" s="13" t="n">
        <f aca="false">IF(E342="Win",3,IF(E342="Draw",2,1))</f>
        <v>2</v>
      </c>
    </row>
    <row r="343" customFormat="false" ht="14.25" hidden="false" customHeight="false" outlineLevel="0" collapsed="false">
      <c r="A343" s="13" t="n">
        <f aca="false">'Match Results'!A87</f>
        <v>45960</v>
      </c>
      <c r="B343" s="13" t="n">
        <f aca="false">'Match Results'!B343</f>
        <v>0</v>
      </c>
      <c r="C343" s="13" t="n">
        <v>86</v>
      </c>
      <c r="D343" s="13" t="n">
        <f aca="false">'Match Results'!D87</f>
        <v>0</v>
      </c>
      <c r="E343" s="13" t="str">
        <f aca="false">IF('Match Results'!E87&gt;'Match Results'!F87,"Win",IF('Match Results'!E87='Match Results'!F87,"Draw","Loss"))</f>
        <v>Draw</v>
      </c>
      <c r="F343" s="13" t="n">
        <f aca="false">IF(E343="Win",3,IF(E343="Draw",2,1))</f>
        <v>2</v>
      </c>
    </row>
    <row r="344" customFormat="false" ht="14.25" hidden="false" customHeight="false" outlineLevel="0" collapsed="false">
      <c r="A344" s="13" t="n">
        <f aca="false">'Match Results'!A87</f>
        <v>45960</v>
      </c>
      <c r="B344" s="13" t="n">
        <f aca="false">'Match Results'!B344</f>
        <v>0</v>
      </c>
      <c r="C344" s="13" t="n">
        <v>86</v>
      </c>
      <c r="D344" s="13" t="n">
        <f aca="false">'Match Results'!G87</f>
        <v>0</v>
      </c>
      <c r="E344" s="13" t="str">
        <f aca="false">IF('Match Results'!F87&gt;'Match Results'!E87,"Win",IF('Match Results'!E87='Match Results'!F87,"Draw","Loss"))</f>
        <v>Draw</v>
      </c>
      <c r="F344" s="13" t="n">
        <f aca="false">IF(E344="Win",3,IF(E344="Draw",2,1))</f>
        <v>2</v>
      </c>
    </row>
    <row r="345" customFormat="false" ht="14.25" hidden="false" customHeight="false" outlineLevel="0" collapsed="false">
      <c r="A345" s="13" t="n">
        <f aca="false">'Match Results'!A87</f>
        <v>45960</v>
      </c>
      <c r="B345" s="13" t="n">
        <f aca="false">'Match Results'!B345</f>
        <v>0</v>
      </c>
      <c r="C345" s="13" t="n">
        <v>86</v>
      </c>
      <c r="D345" s="13" t="n">
        <f aca="false">'Match Results'!H87</f>
        <v>0</v>
      </c>
      <c r="E345" s="13" t="str">
        <f aca="false">IF('Match Results'!F87&gt;'Match Results'!E87,"Win",IF('Match Results'!E87='Match Results'!F87,"Draw","Loss"))</f>
        <v>Draw</v>
      </c>
      <c r="F345" s="13" t="n">
        <f aca="false">IF(E345="Win",3,IF(E345="Draw",2,1))</f>
        <v>2</v>
      </c>
    </row>
    <row r="346" customFormat="false" ht="14.25" hidden="false" customHeight="false" outlineLevel="0" collapsed="false">
      <c r="A346" s="13" t="n">
        <f aca="false">'Match Results'!A88</f>
        <v>45960</v>
      </c>
      <c r="B346" s="13" t="n">
        <f aca="false">'Match Results'!B346</f>
        <v>0</v>
      </c>
      <c r="C346" s="13" t="n">
        <v>87</v>
      </c>
      <c r="D346" s="13" t="n">
        <f aca="false">'Match Results'!C88</f>
        <v>0</v>
      </c>
      <c r="E346" s="13" t="str">
        <f aca="false">IF('Match Results'!E88&gt;'Match Results'!F88,"Win",IF('Match Results'!E88='Match Results'!F88,"Draw","Loss"))</f>
        <v>Draw</v>
      </c>
      <c r="F346" s="13" t="n">
        <f aca="false">IF(E346="Win",3,IF(E346="Draw",2,1))</f>
        <v>2</v>
      </c>
    </row>
    <row r="347" customFormat="false" ht="14.25" hidden="false" customHeight="false" outlineLevel="0" collapsed="false">
      <c r="A347" s="13" t="n">
        <f aca="false">'Match Results'!A88</f>
        <v>45960</v>
      </c>
      <c r="B347" s="13" t="n">
        <f aca="false">'Match Results'!B347</f>
        <v>0</v>
      </c>
      <c r="C347" s="13" t="n">
        <v>87</v>
      </c>
      <c r="D347" s="13" t="n">
        <f aca="false">'Match Results'!D88</f>
        <v>0</v>
      </c>
      <c r="E347" s="13" t="str">
        <f aca="false">IF('Match Results'!E88&gt;'Match Results'!F88,"Win",IF('Match Results'!E88='Match Results'!F88,"Draw","Loss"))</f>
        <v>Draw</v>
      </c>
      <c r="F347" s="13" t="n">
        <f aca="false">IF(E347="Win",3,IF(E347="Draw",2,1))</f>
        <v>2</v>
      </c>
    </row>
    <row r="348" customFormat="false" ht="14.25" hidden="false" customHeight="false" outlineLevel="0" collapsed="false">
      <c r="A348" s="13" t="n">
        <f aca="false">'Match Results'!A88</f>
        <v>45960</v>
      </c>
      <c r="B348" s="13" t="n">
        <f aca="false">'Match Results'!B348</f>
        <v>0</v>
      </c>
      <c r="C348" s="13" t="n">
        <v>87</v>
      </c>
      <c r="D348" s="13" t="n">
        <f aca="false">'Match Results'!G88</f>
        <v>0</v>
      </c>
      <c r="E348" s="13" t="str">
        <f aca="false">IF('Match Results'!F88&gt;'Match Results'!E88,"Win",IF('Match Results'!E88='Match Results'!F88,"Draw","Loss"))</f>
        <v>Draw</v>
      </c>
      <c r="F348" s="13" t="n">
        <f aca="false">IF(E348="Win",3,IF(E348="Draw",2,1))</f>
        <v>2</v>
      </c>
    </row>
    <row r="349" customFormat="false" ht="14.25" hidden="false" customHeight="false" outlineLevel="0" collapsed="false">
      <c r="A349" s="13" t="n">
        <f aca="false">'Match Results'!A88</f>
        <v>45960</v>
      </c>
      <c r="B349" s="13" t="n">
        <f aca="false">'Match Results'!B349</f>
        <v>0</v>
      </c>
      <c r="C349" s="13" t="n">
        <v>87</v>
      </c>
      <c r="D349" s="13" t="n">
        <f aca="false">'Match Results'!H88</f>
        <v>0</v>
      </c>
      <c r="E349" s="13" t="str">
        <f aca="false">IF('Match Results'!F88&gt;'Match Results'!E88,"Win",IF('Match Results'!E88='Match Results'!F88,"Draw","Loss"))</f>
        <v>Draw</v>
      </c>
      <c r="F349" s="13" t="n">
        <f aca="false">IF(E349="Win",3,IF(E349="Draw",2,1))</f>
        <v>2</v>
      </c>
    </row>
    <row r="350" customFormat="false" ht="14.25" hidden="false" customHeight="false" outlineLevel="0" collapsed="false">
      <c r="A350" s="13" t="n">
        <f aca="false">'Match Results'!A89</f>
        <v>45960</v>
      </c>
      <c r="B350" s="13" t="n">
        <f aca="false">'Match Results'!B350</f>
        <v>0</v>
      </c>
      <c r="C350" s="13" t="n">
        <v>88</v>
      </c>
      <c r="D350" s="13" t="n">
        <f aca="false">'Match Results'!C89</f>
        <v>0</v>
      </c>
      <c r="E350" s="13" t="str">
        <f aca="false">IF('Match Results'!E89&gt;'Match Results'!F89,"Win",IF('Match Results'!E89='Match Results'!F89,"Draw","Loss"))</f>
        <v>Draw</v>
      </c>
      <c r="F350" s="13" t="n">
        <f aca="false">IF(E350="Win",3,IF(E350="Draw",2,1))</f>
        <v>2</v>
      </c>
    </row>
    <row r="351" customFormat="false" ht="14.25" hidden="false" customHeight="false" outlineLevel="0" collapsed="false">
      <c r="A351" s="13" t="n">
        <f aca="false">'Match Results'!A89</f>
        <v>45960</v>
      </c>
      <c r="B351" s="13" t="n">
        <f aca="false">'Match Results'!B351</f>
        <v>0</v>
      </c>
      <c r="C351" s="13" t="n">
        <v>88</v>
      </c>
      <c r="D351" s="13" t="n">
        <f aca="false">'Match Results'!D89</f>
        <v>0</v>
      </c>
      <c r="E351" s="13" t="str">
        <f aca="false">IF('Match Results'!E89&gt;'Match Results'!F89,"Win",IF('Match Results'!E89='Match Results'!F89,"Draw","Loss"))</f>
        <v>Draw</v>
      </c>
      <c r="F351" s="13" t="n">
        <f aca="false">IF(E351="Win",3,IF(E351="Draw",2,1))</f>
        <v>2</v>
      </c>
    </row>
    <row r="352" customFormat="false" ht="14.25" hidden="false" customHeight="false" outlineLevel="0" collapsed="false">
      <c r="A352" s="13" t="n">
        <f aca="false">'Match Results'!A89</f>
        <v>45960</v>
      </c>
      <c r="B352" s="13" t="n">
        <f aca="false">'Match Results'!B352</f>
        <v>0</v>
      </c>
      <c r="C352" s="13" t="n">
        <v>88</v>
      </c>
      <c r="D352" s="13" t="n">
        <f aca="false">'Match Results'!G89</f>
        <v>0</v>
      </c>
      <c r="E352" s="13" t="str">
        <f aca="false">IF('Match Results'!F89&gt;'Match Results'!E89,"Win",IF('Match Results'!E89='Match Results'!F89,"Draw","Loss"))</f>
        <v>Draw</v>
      </c>
      <c r="F352" s="13" t="n">
        <f aca="false">IF(E352="Win",3,IF(E352="Draw",2,1))</f>
        <v>2</v>
      </c>
    </row>
    <row r="353" customFormat="false" ht="14.25" hidden="false" customHeight="false" outlineLevel="0" collapsed="false">
      <c r="A353" s="13" t="n">
        <f aca="false">'Match Results'!A89</f>
        <v>45960</v>
      </c>
      <c r="B353" s="13" t="n">
        <f aca="false">'Match Results'!B353</f>
        <v>0</v>
      </c>
      <c r="C353" s="13" t="n">
        <v>88</v>
      </c>
      <c r="D353" s="13" t="n">
        <f aca="false">'Match Results'!H89</f>
        <v>0</v>
      </c>
      <c r="E353" s="13" t="str">
        <f aca="false">IF('Match Results'!F89&gt;'Match Results'!E89,"Win",IF('Match Results'!E89='Match Results'!F89,"Draw","Loss"))</f>
        <v>Draw</v>
      </c>
      <c r="F353" s="13" t="n">
        <f aca="false">IF(E353="Win",3,IF(E353="Draw",2,1))</f>
        <v>2</v>
      </c>
    </row>
    <row r="354" customFormat="false" ht="14.25" hidden="false" customHeight="false" outlineLevel="0" collapsed="false">
      <c r="A354" s="13" t="n">
        <f aca="false">'Match Results'!A90</f>
        <v>45960</v>
      </c>
      <c r="B354" s="13" t="n">
        <f aca="false">'Match Results'!B354</f>
        <v>0</v>
      </c>
      <c r="C354" s="13" t="n">
        <v>89</v>
      </c>
      <c r="D354" s="13" t="n">
        <f aca="false">'Match Results'!C90</f>
        <v>0</v>
      </c>
      <c r="E354" s="13" t="str">
        <f aca="false">IF('Match Results'!E90&gt;'Match Results'!F90,"Win",IF('Match Results'!E90='Match Results'!F90,"Draw","Loss"))</f>
        <v>Draw</v>
      </c>
      <c r="F354" s="13" t="n">
        <f aca="false">IF(E354="Win",3,IF(E354="Draw",2,1))</f>
        <v>2</v>
      </c>
    </row>
    <row r="355" customFormat="false" ht="14.25" hidden="false" customHeight="false" outlineLevel="0" collapsed="false">
      <c r="A355" s="13" t="n">
        <f aca="false">'Match Results'!A90</f>
        <v>45960</v>
      </c>
      <c r="B355" s="13" t="n">
        <f aca="false">'Match Results'!B355</f>
        <v>0</v>
      </c>
      <c r="C355" s="13" t="n">
        <v>89</v>
      </c>
      <c r="D355" s="13" t="n">
        <f aca="false">'Match Results'!D90</f>
        <v>0</v>
      </c>
      <c r="E355" s="13" t="str">
        <f aca="false">IF('Match Results'!E90&gt;'Match Results'!F90,"Win",IF('Match Results'!E90='Match Results'!F90,"Draw","Loss"))</f>
        <v>Draw</v>
      </c>
      <c r="F355" s="13" t="n">
        <f aca="false">IF(E355="Win",3,IF(E355="Draw",2,1))</f>
        <v>2</v>
      </c>
    </row>
    <row r="356" customFormat="false" ht="14.25" hidden="false" customHeight="false" outlineLevel="0" collapsed="false">
      <c r="A356" s="13" t="n">
        <f aca="false">'Match Results'!A90</f>
        <v>45960</v>
      </c>
      <c r="B356" s="13" t="n">
        <f aca="false">'Match Results'!B356</f>
        <v>0</v>
      </c>
      <c r="C356" s="13" t="n">
        <v>89</v>
      </c>
      <c r="D356" s="13" t="n">
        <f aca="false">'Match Results'!G90</f>
        <v>0</v>
      </c>
      <c r="E356" s="13" t="str">
        <f aca="false">IF('Match Results'!F90&gt;'Match Results'!E90,"Win",IF('Match Results'!E90='Match Results'!F90,"Draw","Loss"))</f>
        <v>Draw</v>
      </c>
      <c r="F356" s="13" t="n">
        <f aca="false">IF(E356="Win",3,IF(E356="Draw",2,1))</f>
        <v>2</v>
      </c>
    </row>
    <row r="357" customFormat="false" ht="14.25" hidden="false" customHeight="false" outlineLevel="0" collapsed="false">
      <c r="A357" s="13" t="n">
        <f aca="false">'Match Results'!A90</f>
        <v>45960</v>
      </c>
      <c r="B357" s="13" t="n">
        <f aca="false">'Match Results'!B357</f>
        <v>0</v>
      </c>
      <c r="C357" s="13" t="n">
        <v>89</v>
      </c>
      <c r="D357" s="13" t="n">
        <f aca="false">'Match Results'!H90</f>
        <v>0</v>
      </c>
      <c r="E357" s="13" t="str">
        <f aca="false">IF('Match Results'!F90&gt;'Match Results'!E90,"Win",IF('Match Results'!E90='Match Results'!F90,"Draw","Loss"))</f>
        <v>Draw</v>
      </c>
      <c r="F357" s="13" t="n">
        <f aca="false">IF(E357="Win",3,IF(E357="Draw",2,1))</f>
        <v>2</v>
      </c>
    </row>
    <row r="358" customFormat="false" ht="14.25" hidden="false" customHeight="false" outlineLevel="0" collapsed="false">
      <c r="A358" s="13" t="n">
        <f aca="false">'Match Results'!A91</f>
        <v>45960</v>
      </c>
      <c r="B358" s="13" t="n">
        <f aca="false">'Match Results'!B358</f>
        <v>0</v>
      </c>
      <c r="C358" s="13" t="n">
        <v>90</v>
      </c>
      <c r="D358" s="13" t="n">
        <f aca="false">'Match Results'!C91</f>
        <v>0</v>
      </c>
      <c r="E358" s="13" t="str">
        <f aca="false">IF('Match Results'!E91&gt;'Match Results'!F91,"Win",IF('Match Results'!E91='Match Results'!F91,"Draw","Loss"))</f>
        <v>Draw</v>
      </c>
      <c r="F358" s="13" t="n">
        <f aca="false">IF(E358="Win",3,IF(E358="Draw",2,1))</f>
        <v>2</v>
      </c>
    </row>
    <row r="359" customFormat="false" ht="14.25" hidden="false" customHeight="false" outlineLevel="0" collapsed="false">
      <c r="A359" s="13" t="n">
        <f aca="false">'Match Results'!A91</f>
        <v>45960</v>
      </c>
      <c r="B359" s="13" t="n">
        <f aca="false">'Match Results'!B359</f>
        <v>0</v>
      </c>
      <c r="C359" s="13" t="n">
        <v>90</v>
      </c>
      <c r="D359" s="13" t="n">
        <f aca="false">'Match Results'!D91</f>
        <v>0</v>
      </c>
      <c r="E359" s="13" t="str">
        <f aca="false">IF('Match Results'!E91&gt;'Match Results'!F91,"Win",IF('Match Results'!E91='Match Results'!F91,"Draw","Loss"))</f>
        <v>Draw</v>
      </c>
      <c r="F359" s="13" t="n">
        <f aca="false">IF(E359="Win",3,IF(E359="Draw",2,1))</f>
        <v>2</v>
      </c>
    </row>
    <row r="360" customFormat="false" ht="14.25" hidden="false" customHeight="false" outlineLevel="0" collapsed="false">
      <c r="A360" s="13" t="n">
        <f aca="false">'Match Results'!A91</f>
        <v>45960</v>
      </c>
      <c r="B360" s="13" t="n">
        <f aca="false">'Match Results'!B360</f>
        <v>0</v>
      </c>
      <c r="C360" s="13" t="n">
        <v>90</v>
      </c>
      <c r="D360" s="13" t="n">
        <f aca="false">'Match Results'!G91</f>
        <v>0</v>
      </c>
      <c r="E360" s="13" t="str">
        <f aca="false">IF('Match Results'!F91&gt;'Match Results'!E91,"Win",IF('Match Results'!E91='Match Results'!F91,"Draw","Loss"))</f>
        <v>Draw</v>
      </c>
      <c r="F360" s="13" t="n">
        <f aca="false">IF(E360="Win",3,IF(E360="Draw",2,1))</f>
        <v>2</v>
      </c>
    </row>
    <row r="361" customFormat="false" ht="14.25" hidden="false" customHeight="false" outlineLevel="0" collapsed="false">
      <c r="A361" s="13" t="n">
        <f aca="false">'Match Results'!A91</f>
        <v>45960</v>
      </c>
      <c r="B361" s="13" t="n">
        <f aca="false">'Match Results'!B361</f>
        <v>0</v>
      </c>
      <c r="C361" s="13" t="n">
        <v>90</v>
      </c>
      <c r="D361" s="13" t="n">
        <f aca="false">'Match Results'!H91</f>
        <v>0</v>
      </c>
      <c r="E361" s="13" t="str">
        <f aca="false">IF('Match Results'!F91&gt;'Match Results'!E91,"Win",IF('Match Results'!E91='Match Results'!F91,"Draw","Loss"))</f>
        <v>Draw</v>
      </c>
      <c r="F361" s="13" t="n">
        <f aca="false">IF(E361="Win",3,IF(E361="Draw",2,1))</f>
        <v>2</v>
      </c>
    </row>
    <row r="362" customFormat="false" ht="14.25" hidden="false" customHeight="false" outlineLevel="0" collapsed="false">
      <c r="A362" s="13" t="n">
        <f aca="false">'Match Results'!A92</f>
        <v>45960</v>
      </c>
      <c r="B362" s="13" t="n">
        <f aca="false">'Match Results'!B362</f>
        <v>0</v>
      </c>
      <c r="C362" s="13" t="n">
        <v>91</v>
      </c>
      <c r="D362" s="13" t="n">
        <f aca="false">'Match Results'!C92</f>
        <v>0</v>
      </c>
      <c r="E362" s="13" t="str">
        <f aca="false">IF('Match Results'!E92&gt;'Match Results'!F92,"Win",IF('Match Results'!E92='Match Results'!F92,"Draw","Loss"))</f>
        <v>Draw</v>
      </c>
      <c r="F362" s="13" t="n">
        <f aca="false">IF(E362="Win",3,IF(E362="Draw",2,1))</f>
        <v>2</v>
      </c>
    </row>
    <row r="363" customFormat="false" ht="14.25" hidden="false" customHeight="false" outlineLevel="0" collapsed="false">
      <c r="A363" s="13" t="n">
        <f aca="false">'Match Results'!A92</f>
        <v>45960</v>
      </c>
      <c r="B363" s="13" t="n">
        <f aca="false">'Match Results'!B363</f>
        <v>0</v>
      </c>
      <c r="C363" s="13" t="n">
        <v>91</v>
      </c>
      <c r="D363" s="13" t="n">
        <f aca="false">'Match Results'!D92</f>
        <v>0</v>
      </c>
      <c r="E363" s="13" t="str">
        <f aca="false">IF('Match Results'!E92&gt;'Match Results'!F92,"Win",IF('Match Results'!E92='Match Results'!F92,"Draw","Loss"))</f>
        <v>Draw</v>
      </c>
      <c r="F363" s="13" t="n">
        <f aca="false">IF(E363="Win",3,IF(E363="Draw",2,1))</f>
        <v>2</v>
      </c>
    </row>
    <row r="364" customFormat="false" ht="14.25" hidden="false" customHeight="false" outlineLevel="0" collapsed="false">
      <c r="A364" s="13" t="n">
        <f aca="false">'Match Results'!A92</f>
        <v>45960</v>
      </c>
      <c r="B364" s="13" t="n">
        <f aca="false">'Match Results'!B364</f>
        <v>0</v>
      </c>
      <c r="C364" s="13" t="n">
        <v>91</v>
      </c>
      <c r="D364" s="13" t="n">
        <f aca="false">'Match Results'!G92</f>
        <v>0</v>
      </c>
      <c r="E364" s="13" t="str">
        <f aca="false">IF('Match Results'!F92&gt;'Match Results'!E92,"Win",IF('Match Results'!E92='Match Results'!F92,"Draw","Loss"))</f>
        <v>Draw</v>
      </c>
      <c r="F364" s="13" t="n">
        <f aca="false">IF(E364="Win",3,IF(E364="Draw",2,1))</f>
        <v>2</v>
      </c>
    </row>
    <row r="365" customFormat="false" ht="14.25" hidden="false" customHeight="false" outlineLevel="0" collapsed="false">
      <c r="A365" s="13" t="n">
        <f aca="false">'Match Results'!A92</f>
        <v>45960</v>
      </c>
      <c r="B365" s="13" t="n">
        <f aca="false">'Match Results'!B365</f>
        <v>0</v>
      </c>
      <c r="C365" s="13" t="n">
        <v>91</v>
      </c>
      <c r="D365" s="13" t="n">
        <f aca="false">'Match Results'!H92</f>
        <v>0</v>
      </c>
      <c r="E365" s="13" t="str">
        <f aca="false">IF('Match Results'!F92&gt;'Match Results'!E92,"Win",IF('Match Results'!E92='Match Results'!F92,"Draw","Loss"))</f>
        <v>Draw</v>
      </c>
      <c r="F365" s="13" t="n">
        <f aca="false">IF(E365="Win",3,IF(E365="Draw",2,1))</f>
        <v>2</v>
      </c>
    </row>
    <row r="366" customFormat="false" ht="14.25" hidden="false" customHeight="false" outlineLevel="0" collapsed="false">
      <c r="A366" s="13" t="n">
        <f aca="false">'Match Results'!A93</f>
        <v>45960</v>
      </c>
      <c r="B366" s="13" t="n">
        <f aca="false">'Match Results'!B366</f>
        <v>0</v>
      </c>
      <c r="C366" s="13" t="n">
        <v>92</v>
      </c>
      <c r="D366" s="13" t="n">
        <f aca="false">'Match Results'!C93</f>
        <v>0</v>
      </c>
      <c r="E366" s="13" t="str">
        <f aca="false">IF('Match Results'!E93&gt;'Match Results'!F93,"Win",IF('Match Results'!E93='Match Results'!F93,"Draw","Loss"))</f>
        <v>Draw</v>
      </c>
      <c r="F366" s="13" t="n">
        <f aca="false">IF(E366="Win",3,IF(E366="Draw",2,1))</f>
        <v>2</v>
      </c>
    </row>
    <row r="367" customFormat="false" ht="14.25" hidden="false" customHeight="false" outlineLevel="0" collapsed="false">
      <c r="A367" s="13" t="n">
        <f aca="false">'Match Results'!A93</f>
        <v>45960</v>
      </c>
      <c r="B367" s="13" t="n">
        <f aca="false">'Match Results'!B367</f>
        <v>0</v>
      </c>
      <c r="C367" s="13" t="n">
        <v>92</v>
      </c>
      <c r="D367" s="13" t="n">
        <f aca="false">'Match Results'!D93</f>
        <v>0</v>
      </c>
      <c r="E367" s="13" t="str">
        <f aca="false">IF('Match Results'!E93&gt;'Match Results'!F93,"Win",IF('Match Results'!E93='Match Results'!F93,"Draw","Loss"))</f>
        <v>Draw</v>
      </c>
      <c r="F367" s="13" t="n">
        <f aca="false">IF(E367="Win",3,IF(E367="Draw",2,1))</f>
        <v>2</v>
      </c>
    </row>
    <row r="368" customFormat="false" ht="14.25" hidden="false" customHeight="false" outlineLevel="0" collapsed="false">
      <c r="A368" s="13" t="n">
        <f aca="false">'Match Results'!A93</f>
        <v>45960</v>
      </c>
      <c r="B368" s="13" t="n">
        <f aca="false">'Match Results'!B368</f>
        <v>0</v>
      </c>
      <c r="C368" s="13" t="n">
        <v>92</v>
      </c>
      <c r="D368" s="13" t="n">
        <f aca="false">'Match Results'!G93</f>
        <v>0</v>
      </c>
      <c r="E368" s="13" t="str">
        <f aca="false">IF('Match Results'!F93&gt;'Match Results'!E93,"Win",IF('Match Results'!E93='Match Results'!F93,"Draw","Loss"))</f>
        <v>Draw</v>
      </c>
      <c r="F368" s="13" t="n">
        <f aca="false">IF(E368="Win",3,IF(E368="Draw",2,1))</f>
        <v>2</v>
      </c>
    </row>
    <row r="369" customFormat="false" ht="14.25" hidden="false" customHeight="false" outlineLevel="0" collapsed="false">
      <c r="A369" s="13" t="n">
        <f aca="false">'Match Results'!A93</f>
        <v>45960</v>
      </c>
      <c r="B369" s="13" t="n">
        <f aca="false">'Match Results'!B369</f>
        <v>0</v>
      </c>
      <c r="C369" s="13" t="n">
        <v>92</v>
      </c>
      <c r="D369" s="13" t="n">
        <f aca="false">'Match Results'!H93</f>
        <v>0</v>
      </c>
      <c r="E369" s="13" t="str">
        <f aca="false">IF('Match Results'!F93&gt;'Match Results'!E93,"Win",IF('Match Results'!E93='Match Results'!F93,"Draw","Loss"))</f>
        <v>Draw</v>
      </c>
      <c r="F369" s="13" t="n">
        <f aca="false">IF(E369="Win",3,IF(E369="Draw",2,1))</f>
        <v>2</v>
      </c>
    </row>
    <row r="370" customFormat="false" ht="14.25" hidden="false" customHeight="false" outlineLevel="0" collapsed="false">
      <c r="A370" s="13" t="n">
        <f aca="false">'Match Results'!A94</f>
        <v>45960</v>
      </c>
      <c r="B370" s="13" t="n">
        <f aca="false">'Match Results'!B370</f>
        <v>0</v>
      </c>
      <c r="C370" s="13" t="n">
        <v>93</v>
      </c>
      <c r="D370" s="13" t="n">
        <f aca="false">'Match Results'!C94</f>
        <v>0</v>
      </c>
      <c r="E370" s="13" t="str">
        <f aca="false">IF('Match Results'!E94&gt;'Match Results'!F94,"Win",IF('Match Results'!E94='Match Results'!F94,"Draw","Loss"))</f>
        <v>Draw</v>
      </c>
      <c r="F370" s="13" t="n">
        <f aca="false">IF(E370="Win",3,IF(E370="Draw",2,1))</f>
        <v>2</v>
      </c>
    </row>
    <row r="371" customFormat="false" ht="14.25" hidden="false" customHeight="false" outlineLevel="0" collapsed="false">
      <c r="A371" s="13" t="n">
        <f aca="false">'Match Results'!A94</f>
        <v>45960</v>
      </c>
      <c r="B371" s="13" t="n">
        <f aca="false">'Match Results'!B371</f>
        <v>0</v>
      </c>
      <c r="C371" s="13" t="n">
        <v>93</v>
      </c>
      <c r="D371" s="13" t="n">
        <f aca="false">'Match Results'!D94</f>
        <v>0</v>
      </c>
      <c r="E371" s="13" t="str">
        <f aca="false">IF('Match Results'!E94&gt;'Match Results'!F94,"Win",IF('Match Results'!E94='Match Results'!F94,"Draw","Loss"))</f>
        <v>Draw</v>
      </c>
      <c r="F371" s="13" t="n">
        <f aca="false">IF(E371="Win",3,IF(E371="Draw",2,1))</f>
        <v>2</v>
      </c>
    </row>
    <row r="372" customFormat="false" ht="14.25" hidden="false" customHeight="false" outlineLevel="0" collapsed="false">
      <c r="A372" s="13" t="n">
        <f aca="false">'Match Results'!A94</f>
        <v>45960</v>
      </c>
      <c r="B372" s="13" t="n">
        <f aca="false">'Match Results'!B372</f>
        <v>0</v>
      </c>
      <c r="C372" s="13" t="n">
        <v>93</v>
      </c>
      <c r="D372" s="13" t="n">
        <f aca="false">'Match Results'!G94</f>
        <v>0</v>
      </c>
      <c r="E372" s="13" t="str">
        <f aca="false">IF('Match Results'!F94&gt;'Match Results'!E94,"Win",IF('Match Results'!E94='Match Results'!F94,"Draw","Loss"))</f>
        <v>Draw</v>
      </c>
      <c r="F372" s="13" t="n">
        <f aca="false">IF(E372="Win",3,IF(E372="Draw",2,1))</f>
        <v>2</v>
      </c>
    </row>
    <row r="373" customFormat="false" ht="14.25" hidden="false" customHeight="false" outlineLevel="0" collapsed="false">
      <c r="A373" s="13" t="n">
        <f aca="false">'Match Results'!A94</f>
        <v>45960</v>
      </c>
      <c r="B373" s="13" t="n">
        <f aca="false">'Match Results'!B373</f>
        <v>0</v>
      </c>
      <c r="C373" s="13" t="n">
        <v>93</v>
      </c>
      <c r="D373" s="13" t="n">
        <f aca="false">'Match Results'!H94</f>
        <v>0</v>
      </c>
      <c r="E373" s="13" t="str">
        <f aca="false">IF('Match Results'!F94&gt;'Match Results'!E94,"Win",IF('Match Results'!E94='Match Results'!F94,"Draw","Loss"))</f>
        <v>Draw</v>
      </c>
      <c r="F373" s="13" t="n">
        <f aca="false">IF(E373="Win",3,IF(E373="Draw",2,1))</f>
        <v>2</v>
      </c>
    </row>
    <row r="374" customFormat="false" ht="14.25" hidden="false" customHeight="false" outlineLevel="0" collapsed="false">
      <c r="A374" s="13" t="n">
        <f aca="false">'Match Results'!A95</f>
        <v>45960</v>
      </c>
      <c r="B374" s="13" t="n">
        <f aca="false">'Match Results'!B374</f>
        <v>0</v>
      </c>
      <c r="C374" s="13" t="n">
        <v>94</v>
      </c>
      <c r="D374" s="13" t="n">
        <f aca="false">'Match Results'!C95</f>
        <v>0</v>
      </c>
      <c r="E374" s="13" t="str">
        <f aca="false">IF('Match Results'!E95&gt;'Match Results'!F95,"Win",IF('Match Results'!E95='Match Results'!F95,"Draw","Loss"))</f>
        <v>Draw</v>
      </c>
      <c r="F374" s="13" t="n">
        <f aca="false">IF(E374="Win",3,IF(E374="Draw",2,1))</f>
        <v>2</v>
      </c>
    </row>
    <row r="375" customFormat="false" ht="14.25" hidden="false" customHeight="false" outlineLevel="0" collapsed="false">
      <c r="A375" s="13" t="n">
        <f aca="false">'Match Results'!A95</f>
        <v>45960</v>
      </c>
      <c r="B375" s="13" t="n">
        <f aca="false">'Match Results'!B375</f>
        <v>0</v>
      </c>
      <c r="C375" s="13" t="n">
        <v>94</v>
      </c>
      <c r="D375" s="13" t="n">
        <f aca="false">'Match Results'!D95</f>
        <v>0</v>
      </c>
      <c r="E375" s="13" t="str">
        <f aca="false">IF('Match Results'!E95&gt;'Match Results'!F95,"Win",IF('Match Results'!E95='Match Results'!F95,"Draw","Loss"))</f>
        <v>Draw</v>
      </c>
      <c r="F375" s="13" t="n">
        <f aca="false">IF(E375="Win",3,IF(E375="Draw",2,1))</f>
        <v>2</v>
      </c>
    </row>
    <row r="376" customFormat="false" ht="14.25" hidden="false" customHeight="false" outlineLevel="0" collapsed="false">
      <c r="A376" s="13" t="n">
        <f aca="false">'Match Results'!A95</f>
        <v>45960</v>
      </c>
      <c r="B376" s="13" t="n">
        <f aca="false">'Match Results'!B376</f>
        <v>0</v>
      </c>
      <c r="C376" s="13" t="n">
        <v>94</v>
      </c>
      <c r="D376" s="13" t="n">
        <f aca="false">'Match Results'!G95</f>
        <v>0</v>
      </c>
      <c r="E376" s="13" t="str">
        <f aca="false">IF('Match Results'!F95&gt;'Match Results'!E95,"Win",IF('Match Results'!E95='Match Results'!F95,"Draw","Loss"))</f>
        <v>Draw</v>
      </c>
      <c r="F376" s="13" t="n">
        <f aca="false">IF(E376="Win",3,IF(E376="Draw",2,1))</f>
        <v>2</v>
      </c>
    </row>
    <row r="377" customFormat="false" ht="14.25" hidden="false" customHeight="false" outlineLevel="0" collapsed="false">
      <c r="A377" s="13" t="n">
        <f aca="false">'Match Results'!A95</f>
        <v>45960</v>
      </c>
      <c r="B377" s="13" t="n">
        <f aca="false">'Match Results'!B377</f>
        <v>0</v>
      </c>
      <c r="C377" s="13" t="n">
        <v>94</v>
      </c>
      <c r="D377" s="13" t="n">
        <f aca="false">'Match Results'!H95</f>
        <v>0</v>
      </c>
      <c r="E377" s="13" t="str">
        <f aca="false">IF('Match Results'!F95&gt;'Match Results'!E95,"Win",IF('Match Results'!E95='Match Results'!F95,"Draw","Loss"))</f>
        <v>Draw</v>
      </c>
      <c r="F377" s="13" t="n">
        <f aca="false">IF(E377="Win",3,IF(E377="Draw",2,1))</f>
        <v>2</v>
      </c>
    </row>
    <row r="378" customFormat="false" ht="14.25" hidden="false" customHeight="false" outlineLevel="0" collapsed="false">
      <c r="A378" s="13" t="n">
        <f aca="false">'Match Results'!A96</f>
        <v>45960</v>
      </c>
      <c r="B378" s="13" t="n">
        <f aca="false">'Match Results'!B378</f>
        <v>0</v>
      </c>
      <c r="C378" s="13" t="n">
        <v>95</v>
      </c>
      <c r="D378" s="13" t="n">
        <f aca="false">'Match Results'!C96</f>
        <v>0</v>
      </c>
      <c r="E378" s="13" t="str">
        <f aca="false">IF('Match Results'!E96&gt;'Match Results'!F96,"Win",IF('Match Results'!E96='Match Results'!F96,"Draw","Loss"))</f>
        <v>Draw</v>
      </c>
      <c r="F378" s="13" t="n">
        <f aca="false">IF(E378="Win",3,IF(E378="Draw",2,1))</f>
        <v>2</v>
      </c>
    </row>
    <row r="379" customFormat="false" ht="14.25" hidden="false" customHeight="false" outlineLevel="0" collapsed="false">
      <c r="A379" s="13" t="n">
        <f aca="false">'Match Results'!A96</f>
        <v>45960</v>
      </c>
      <c r="B379" s="13" t="n">
        <f aca="false">'Match Results'!B379</f>
        <v>0</v>
      </c>
      <c r="C379" s="13" t="n">
        <v>95</v>
      </c>
      <c r="D379" s="13" t="n">
        <f aca="false">'Match Results'!D96</f>
        <v>0</v>
      </c>
      <c r="E379" s="13" t="str">
        <f aca="false">IF('Match Results'!E96&gt;'Match Results'!F96,"Win",IF('Match Results'!E96='Match Results'!F96,"Draw","Loss"))</f>
        <v>Draw</v>
      </c>
      <c r="F379" s="13" t="n">
        <f aca="false">IF(E379="Win",3,IF(E379="Draw",2,1))</f>
        <v>2</v>
      </c>
    </row>
    <row r="380" customFormat="false" ht="14.25" hidden="false" customHeight="false" outlineLevel="0" collapsed="false">
      <c r="A380" s="13" t="n">
        <f aca="false">'Match Results'!A96</f>
        <v>45960</v>
      </c>
      <c r="B380" s="13" t="n">
        <f aca="false">'Match Results'!B380</f>
        <v>0</v>
      </c>
      <c r="C380" s="13" t="n">
        <v>95</v>
      </c>
      <c r="D380" s="13" t="n">
        <f aca="false">'Match Results'!G96</f>
        <v>0</v>
      </c>
      <c r="E380" s="13" t="str">
        <f aca="false">IF('Match Results'!F96&gt;'Match Results'!E96,"Win",IF('Match Results'!E96='Match Results'!F96,"Draw","Loss"))</f>
        <v>Draw</v>
      </c>
      <c r="F380" s="13" t="n">
        <f aca="false">IF(E380="Win",3,IF(E380="Draw",2,1))</f>
        <v>2</v>
      </c>
    </row>
    <row r="381" customFormat="false" ht="14.25" hidden="false" customHeight="false" outlineLevel="0" collapsed="false">
      <c r="A381" s="13" t="n">
        <f aca="false">'Match Results'!A96</f>
        <v>45960</v>
      </c>
      <c r="B381" s="13" t="n">
        <f aca="false">'Match Results'!B381</f>
        <v>0</v>
      </c>
      <c r="C381" s="13" t="n">
        <v>95</v>
      </c>
      <c r="D381" s="13" t="n">
        <f aca="false">'Match Results'!H96</f>
        <v>0</v>
      </c>
      <c r="E381" s="13" t="str">
        <f aca="false">IF('Match Results'!F96&gt;'Match Results'!E96,"Win",IF('Match Results'!E96='Match Results'!F96,"Draw","Loss"))</f>
        <v>Draw</v>
      </c>
      <c r="F381" s="13" t="n">
        <f aca="false">IF(E381="Win",3,IF(E381="Draw",2,1))</f>
        <v>2</v>
      </c>
    </row>
    <row r="382" customFormat="false" ht="14.25" hidden="false" customHeight="false" outlineLevel="0" collapsed="false">
      <c r="A382" s="13" t="n">
        <f aca="false">'Match Results'!A97</f>
        <v>45960</v>
      </c>
      <c r="B382" s="13" t="n">
        <f aca="false">'Match Results'!B382</f>
        <v>0</v>
      </c>
      <c r="C382" s="13" t="n">
        <v>96</v>
      </c>
      <c r="D382" s="13" t="n">
        <f aca="false">'Match Results'!C97</f>
        <v>0</v>
      </c>
      <c r="E382" s="13" t="str">
        <f aca="false">IF('Match Results'!E97&gt;'Match Results'!F97,"Win",IF('Match Results'!E97='Match Results'!F97,"Draw","Loss"))</f>
        <v>Draw</v>
      </c>
      <c r="F382" s="13" t="n">
        <f aca="false">IF(E382="Win",3,IF(E382="Draw",2,1))</f>
        <v>2</v>
      </c>
    </row>
    <row r="383" customFormat="false" ht="14.25" hidden="false" customHeight="false" outlineLevel="0" collapsed="false">
      <c r="A383" s="13" t="n">
        <f aca="false">'Match Results'!A97</f>
        <v>45960</v>
      </c>
      <c r="B383" s="13" t="n">
        <f aca="false">'Match Results'!B383</f>
        <v>0</v>
      </c>
      <c r="C383" s="13" t="n">
        <v>96</v>
      </c>
      <c r="D383" s="13" t="n">
        <f aca="false">'Match Results'!D97</f>
        <v>0</v>
      </c>
      <c r="E383" s="13" t="str">
        <f aca="false">IF('Match Results'!E97&gt;'Match Results'!F97,"Win",IF('Match Results'!E97='Match Results'!F97,"Draw","Loss"))</f>
        <v>Draw</v>
      </c>
      <c r="F383" s="13" t="n">
        <f aca="false">IF(E383="Win",3,IF(E383="Draw",2,1))</f>
        <v>2</v>
      </c>
    </row>
    <row r="384" customFormat="false" ht="14.25" hidden="false" customHeight="false" outlineLevel="0" collapsed="false">
      <c r="A384" s="13" t="n">
        <f aca="false">'Match Results'!A97</f>
        <v>45960</v>
      </c>
      <c r="B384" s="13" t="n">
        <f aca="false">'Match Results'!B384</f>
        <v>0</v>
      </c>
      <c r="C384" s="13" t="n">
        <v>96</v>
      </c>
      <c r="D384" s="13" t="n">
        <f aca="false">'Match Results'!G97</f>
        <v>0</v>
      </c>
      <c r="E384" s="13" t="str">
        <f aca="false">IF('Match Results'!F97&gt;'Match Results'!E97,"Win",IF('Match Results'!E97='Match Results'!F97,"Draw","Loss"))</f>
        <v>Draw</v>
      </c>
      <c r="F384" s="13" t="n">
        <f aca="false">IF(E384="Win",3,IF(E384="Draw",2,1))</f>
        <v>2</v>
      </c>
    </row>
    <row r="385" customFormat="false" ht="14.25" hidden="false" customHeight="false" outlineLevel="0" collapsed="false">
      <c r="A385" s="13" t="n">
        <f aca="false">'Match Results'!A97</f>
        <v>45960</v>
      </c>
      <c r="B385" s="13" t="n">
        <f aca="false">'Match Results'!B385</f>
        <v>0</v>
      </c>
      <c r="C385" s="13" t="n">
        <v>96</v>
      </c>
      <c r="D385" s="13" t="n">
        <f aca="false">'Match Results'!H97</f>
        <v>0</v>
      </c>
      <c r="E385" s="13" t="str">
        <f aca="false">IF('Match Results'!F97&gt;'Match Results'!E97,"Win",IF('Match Results'!E97='Match Results'!F97,"Draw","Loss"))</f>
        <v>Draw</v>
      </c>
      <c r="F385" s="13" t="n">
        <f aca="false">IF(E385="Win",3,IF(E385="Draw",2,1))</f>
        <v>2</v>
      </c>
    </row>
    <row r="386" customFormat="false" ht="14.25" hidden="false" customHeight="false" outlineLevel="0" collapsed="false">
      <c r="A386" s="13" t="n">
        <f aca="false">'Match Results'!A98</f>
        <v>45960</v>
      </c>
      <c r="B386" s="13" t="n">
        <f aca="false">'Match Results'!B386</f>
        <v>0</v>
      </c>
      <c r="C386" s="13" t="n">
        <v>97</v>
      </c>
      <c r="D386" s="13" t="n">
        <f aca="false">'Match Results'!C98</f>
        <v>0</v>
      </c>
      <c r="E386" s="13" t="str">
        <f aca="false">IF('Match Results'!E98&gt;'Match Results'!F98,"Win",IF('Match Results'!E98='Match Results'!F98,"Draw","Loss"))</f>
        <v>Draw</v>
      </c>
      <c r="F386" s="13" t="n">
        <f aca="false">IF(E386="Win",3,IF(E386="Draw",2,1))</f>
        <v>2</v>
      </c>
    </row>
    <row r="387" customFormat="false" ht="14.25" hidden="false" customHeight="false" outlineLevel="0" collapsed="false">
      <c r="A387" s="13" t="n">
        <f aca="false">'Match Results'!A98</f>
        <v>45960</v>
      </c>
      <c r="B387" s="13" t="n">
        <f aca="false">'Match Results'!B387</f>
        <v>0</v>
      </c>
      <c r="C387" s="13" t="n">
        <v>97</v>
      </c>
      <c r="D387" s="13" t="n">
        <f aca="false">'Match Results'!D98</f>
        <v>0</v>
      </c>
      <c r="E387" s="13" t="str">
        <f aca="false">IF('Match Results'!E98&gt;'Match Results'!F98,"Win",IF('Match Results'!E98='Match Results'!F98,"Draw","Loss"))</f>
        <v>Draw</v>
      </c>
      <c r="F387" s="13" t="n">
        <f aca="false">IF(E387="Win",3,IF(E387="Draw",2,1))</f>
        <v>2</v>
      </c>
    </row>
    <row r="388" customFormat="false" ht="14.25" hidden="false" customHeight="false" outlineLevel="0" collapsed="false">
      <c r="A388" s="13" t="n">
        <f aca="false">'Match Results'!A98</f>
        <v>45960</v>
      </c>
      <c r="B388" s="13" t="n">
        <f aca="false">'Match Results'!B388</f>
        <v>0</v>
      </c>
      <c r="C388" s="13" t="n">
        <v>97</v>
      </c>
      <c r="D388" s="13" t="n">
        <f aca="false">'Match Results'!G98</f>
        <v>0</v>
      </c>
      <c r="E388" s="13" t="str">
        <f aca="false">IF('Match Results'!F98&gt;'Match Results'!E98,"Win",IF('Match Results'!E98='Match Results'!F98,"Draw","Loss"))</f>
        <v>Draw</v>
      </c>
      <c r="F388" s="13" t="n">
        <f aca="false">IF(E388="Win",3,IF(E388="Draw",2,1))</f>
        <v>2</v>
      </c>
    </row>
    <row r="389" customFormat="false" ht="14.25" hidden="false" customHeight="false" outlineLevel="0" collapsed="false">
      <c r="A389" s="13" t="n">
        <f aca="false">'Match Results'!A98</f>
        <v>45960</v>
      </c>
      <c r="B389" s="13" t="n">
        <f aca="false">'Match Results'!B389</f>
        <v>0</v>
      </c>
      <c r="C389" s="13" t="n">
        <v>97</v>
      </c>
      <c r="D389" s="13" t="n">
        <f aca="false">'Match Results'!H98</f>
        <v>0</v>
      </c>
      <c r="E389" s="13" t="str">
        <f aca="false">IF('Match Results'!F98&gt;'Match Results'!E98,"Win",IF('Match Results'!E98='Match Results'!F98,"Draw","Loss"))</f>
        <v>Draw</v>
      </c>
      <c r="F389" s="13" t="n">
        <f aca="false">IF(E389="Win",3,IF(E389="Draw",2,1))</f>
        <v>2</v>
      </c>
    </row>
    <row r="390" customFormat="false" ht="14.25" hidden="false" customHeight="false" outlineLevel="0" collapsed="false">
      <c r="A390" s="13" t="n">
        <f aca="false">'Match Results'!A99</f>
        <v>45960</v>
      </c>
      <c r="B390" s="13" t="n">
        <f aca="false">'Match Results'!B390</f>
        <v>0</v>
      </c>
      <c r="C390" s="13" t="n">
        <v>98</v>
      </c>
      <c r="D390" s="13" t="n">
        <f aca="false">'Match Results'!C99</f>
        <v>0</v>
      </c>
      <c r="E390" s="13" t="str">
        <f aca="false">IF('Match Results'!E99&gt;'Match Results'!F99,"Win",IF('Match Results'!E99='Match Results'!F99,"Draw","Loss"))</f>
        <v>Draw</v>
      </c>
      <c r="F390" s="13" t="n">
        <f aca="false">IF(E390="Win",3,IF(E390="Draw",2,1))</f>
        <v>2</v>
      </c>
    </row>
    <row r="391" customFormat="false" ht="14.25" hidden="false" customHeight="false" outlineLevel="0" collapsed="false">
      <c r="A391" s="13" t="n">
        <f aca="false">'Match Results'!A99</f>
        <v>45960</v>
      </c>
      <c r="B391" s="13" t="n">
        <f aca="false">'Match Results'!B391</f>
        <v>0</v>
      </c>
      <c r="C391" s="13" t="n">
        <v>98</v>
      </c>
      <c r="D391" s="13" t="n">
        <f aca="false">'Match Results'!D99</f>
        <v>0</v>
      </c>
      <c r="E391" s="13" t="str">
        <f aca="false">IF('Match Results'!E99&gt;'Match Results'!F99,"Win",IF('Match Results'!E99='Match Results'!F99,"Draw","Loss"))</f>
        <v>Draw</v>
      </c>
      <c r="F391" s="13" t="n">
        <f aca="false">IF(E391="Win",3,IF(E391="Draw",2,1))</f>
        <v>2</v>
      </c>
    </row>
    <row r="392" customFormat="false" ht="14.25" hidden="false" customHeight="false" outlineLevel="0" collapsed="false">
      <c r="A392" s="13" t="n">
        <f aca="false">'Match Results'!A99</f>
        <v>45960</v>
      </c>
      <c r="B392" s="13" t="n">
        <f aca="false">'Match Results'!B392</f>
        <v>0</v>
      </c>
      <c r="C392" s="13" t="n">
        <v>98</v>
      </c>
      <c r="D392" s="13" t="n">
        <f aca="false">'Match Results'!G99</f>
        <v>0</v>
      </c>
      <c r="E392" s="13" t="str">
        <f aca="false">IF('Match Results'!F99&gt;'Match Results'!E99,"Win",IF('Match Results'!E99='Match Results'!F99,"Draw","Loss"))</f>
        <v>Draw</v>
      </c>
      <c r="F392" s="13" t="n">
        <f aca="false">IF(E392="Win",3,IF(E392="Draw",2,1))</f>
        <v>2</v>
      </c>
    </row>
    <row r="393" customFormat="false" ht="14.25" hidden="false" customHeight="false" outlineLevel="0" collapsed="false">
      <c r="A393" s="13" t="n">
        <f aca="false">'Match Results'!A99</f>
        <v>45960</v>
      </c>
      <c r="B393" s="13" t="n">
        <f aca="false">'Match Results'!B393</f>
        <v>0</v>
      </c>
      <c r="C393" s="13" t="n">
        <v>98</v>
      </c>
      <c r="D393" s="13" t="n">
        <f aca="false">'Match Results'!H99</f>
        <v>0</v>
      </c>
      <c r="E393" s="13" t="str">
        <f aca="false">IF('Match Results'!F99&gt;'Match Results'!E99,"Win",IF('Match Results'!E99='Match Results'!F99,"Draw","Loss"))</f>
        <v>Draw</v>
      </c>
      <c r="F393" s="13" t="n">
        <f aca="false">IF(E393="Win",3,IF(E393="Draw",2,1))</f>
        <v>2</v>
      </c>
    </row>
    <row r="394" customFormat="false" ht="14.25" hidden="false" customHeight="false" outlineLevel="0" collapsed="false">
      <c r="A394" s="13" t="n">
        <f aca="false">'Match Results'!A100</f>
        <v>45960</v>
      </c>
      <c r="B394" s="13" t="n">
        <f aca="false">'Match Results'!B394</f>
        <v>0</v>
      </c>
      <c r="C394" s="13" t="n">
        <v>99</v>
      </c>
      <c r="D394" s="13" t="n">
        <f aca="false">'Match Results'!C100</f>
        <v>0</v>
      </c>
      <c r="E394" s="13" t="str">
        <f aca="false">IF('Match Results'!E100&gt;'Match Results'!F100,"Win",IF('Match Results'!E100='Match Results'!F100,"Draw","Loss"))</f>
        <v>Draw</v>
      </c>
      <c r="F394" s="13" t="n">
        <f aca="false">IF(E394="Win",3,IF(E394="Draw",2,1))</f>
        <v>2</v>
      </c>
    </row>
    <row r="395" customFormat="false" ht="14.25" hidden="false" customHeight="false" outlineLevel="0" collapsed="false">
      <c r="A395" s="13" t="n">
        <f aca="false">'Match Results'!A100</f>
        <v>45960</v>
      </c>
      <c r="B395" s="13" t="n">
        <f aca="false">'Match Results'!B395</f>
        <v>0</v>
      </c>
      <c r="C395" s="13" t="n">
        <v>99</v>
      </c>
      <c r="D395" s="13" t="n">
        <f aca="false">'Match Results'!D100</f>
        <v>0</v>
      </c>
      <c r="E395" s="13" t="str">
        <f aca="false">IF('Match Results'!E100&gt;'Match Results'!F100,"Win",IF('Match Results'!E100='Match Results'!F100,"Draw","Loss"))</f>
        <v>Draw</v>
      </c>
      <c r="F395" s="13" t="n">
        <f aca="false">IF(E395="Win",3,IF(E395="Draw",2,1))</f>
        <v>2</v>
      </c>
    </row>
    <row r="396" customFormat="false" ht="14.25" hidden="false" customHeight="false" outlineLevel="0" collapsed="false">
      <c r="A396" s="13" t="n">
        <f aca="false">'Match Results'!A100</f>
        <v>45960</v>
      </c>
      <c r="B396" s="13" t="n">
        <f aca="false">'Match Results'!B396</f>
        <v>0</v>
      </c>
      <c r="C396" s="13" t="n">
        <v>99</v>
      </c>
      <c r="D396" s="13" t="n">
        <f aca="false">'Match Results'!G100</f>
        <v>0</v>
      </c>
      <c r="E396" s="13" t="str">
        <f aca="false">IF('Match Results'!F100&gt;'Match Results'!E100,"Win",IF('Match Results'!E100='Match Results'!F100,"Draw","Loss"))</f>
        <v>Draw</v>
      </c>
      <c r="F396" s="13" t="n">
        <f aca="false">IF(E396="Win",3,IF(E396="Draw",2,1))</f>
        <v>2</v>
      </c>
    </row>
    <row r="397" customFormat="false" ht="14.25" hidden="false" customHeight="false" outlineLevel="0" collapsed="false">
      <c r="A397" s="13" t="n">
        <f aca="false">'Match Results'!A100</f>
        <v>45960</v>
      </c>
      <c r="B397" s="13" t="n">
        <f aca="false">'Match Results'!B397</f>
        <v>0</v>
      </c>
      <c r="C397" s="13" t="n">
        <v>99</v>
      </c>
      <c r="D397" s="13" t="n">
        <f aca="false">'Match Results'!H100</f>
        <v>0</v>
      </c>
      <c r="E397" s="13" t="str">
        <f aca="false">IF('Match Results'!F100&gt;'Match Results'!E100,"Win",IF('Match Results'!E100='Match Results'!F100,"Draw","Loss"))</f>
        <v>Draw</v>
      </c>
      <c r="F397" s="13" t="n">
        <f aca="false">IF(E397="Win",3,IF(E397="Draw",2,1))</f>
        <v>2</v>
      </c>
    </row>
    <row r="398" customFormat="false" ht="14.25" hidden="false" customHeight="false" outlineLevel="0" collapsed="false">
      <c r="A398" s="13" t="n">
        <f aca="false">'Match Results'!A101</f>
        <v>45960</v>
      </c>
      <c r="B398" s="13" t="n">
        <f aca="false">'Match Results'!B398</f>
        <v>0</v>
      </c>
      <c r="C398" s="13" t="n">
        <v>100</v>
      </c>
      <c r="D398" s="13" t="n">
        <f aca="false">'Match Results'!C101</f>
        <v>0</v>
      </c>
      <c r="E398" s="13" t="str">
        <f aca="false">IF('Match Results'!E101&gt;'Match Results'!F101,"Win",IF('Match Results'!E101='Match Results'!F101,"Draw","Loss"))</f>
        <v>Draw</v>
      </c>
      <c r="F398" s="13" t="n">
        <f aca="false">IF(E398="Win",3,IF(E398="Draw",2,1))</f>
        <v>2</v>
      </c>
    </row>
    <row r="399" customFormat="false" ht="14.25" hidden="false" customHeight="false" outlineLevel="0" collapsed="false">
      <c r="A399" s="13" t="n">
        <f aca="false">'Match Results'!A101</f>
        <v>45960</v>
      </c>
      <c r="B399" s="13" t="n">
        <f aca="false">'Match Results'!B399</f>
        <v>0</v>
      </c>
      <c r="C399" s="13" t="n">
        <v>100</v>
      </c>
      <c r="D399" s="13" t="n">
        <f aca="false">'Match Results'!D101</f>
        <v>0</v>
      </c>
      <c r="E399" s="13" t="str">
        <f aca="false">IF('Match Results'!E101&gt;'Match Results'!F101,"Win",IF('Match Results'!E101='Match Results'!F101,"Draw","Loss"))</f>
        <v>Draw</v>
      </c>
      <c r="F399" s="13" t="n">
        <f aca="false">IF(E399="Win",3,IF(E399="Draw",2,1))</f>
        <v>2</v>
      </c>
    </row>
    <row r="400" customFormat="false" ht="14.25" hidden="false" customHeight="false" outlineLevel="0" collapsed="false">
      <c r="A400" s="13" t="n">
        <f aca="false">'Match Results'!A101</f>
        <v>45960</v>
      </c>
      <c r="B400" s="13" t="n">
        <f aca="false">'Match Results'!B400</f>
        <v>0</v>
      </c>
      <c r="C400" s="13" t="n">
        <v>100</v>
      </c>
      <c r="D400" s="13" t="n">
        <f aca="false">'Match Results'!G101</f>
        <v>0</v>
      </c>
      <c r="E400" s="13" t="str">
        <f aca="false">IF('Match Results'!F101&gt;'Match Results'!E101,"Win",IF('Match Results'!E101='Match Results'!F101,"Draw","Loss"))</f>
        <v>Draw</v>
      </c>
      <c r="F400" s="13" t="n">
        <f aca="false">IF(E400="Win",3,IF(E400="Draw",2,1))</f>
        <v>2</v>
      </c>
    </row>
    <row r="401" customFormat="false" ht="14.25" hidden="false" customHeight="false" outlineLevel="0" collapsed="false">
      <c r="A401" s="13" t="n">
        <f aca="false">'Match Results'!A101</f>
        <v>45960</v>
      </c>
      <c r="B401" s="13" t="n">
        <f aca="false">'Match Results'!B401</f>
        <v>0</v>
      </c>
      <c r="C401" s="13" t="n">
        <v>100</v>
      </c>
      <c r="D401" s="13" t="n">
        <f aca="false">'Match Results'!H101</f>
        <v>0</v>
      </c>
      <c r="E401" s="13" t="str">
        <f aca="false">IF('Match Results'!F101&gt;'Match Results'!E101,"Win",IF('Match Results'!E101='Match Results'!F101,"Draw","Loss"))</f>
        <v>Draw</v>
      </c>
      <c r="F401" s="13" t="n">
        <f aca="false">IF(E401="Win",3,IF(E401="Draw",2,1))</f>
        <v>2</v>
      </c>
    </row>
    <row r="402" customFormat="false" ht="14.25" hidden="false" customHeight="false" outlineLevel="0" collapsed="false">
      <c r="A402" s="13" t="n">
        <f aca="false">'Match Results'!A102</f>
        <v>45967</v>
      </c>
      <c r="B402" s="13" t="n">
        <f aca="false">'Match Results'!B402</f>
        <v>0</v>
      </c>
      <c r="C402" s="13" t="n">
        <v>102</v>
      </c>
      <c r="D402" s="13" t="str">
        <f aca="false">'Match Results'!C102</f>
        <v>Iuliana</v>
      </c>
      <c r="E402" s="13" t="str">
        <f aca="false">IF('Match Results'!E102&gt;'Match Results'!F102,"Win",IF('Match Results'!E102='Match Results'!F102,"Draw","Loss"))</f>
        <v>Loss</v>
      </c>
      <c r="F402" s="13" t="n">
        <f aca="false">IF(E402="Win",3,IF(E402="Draw",2,1))</f>
        <v>1</v>
      </c>
      <c r="I402" s="0" t="s">
        <v>41</v>
      </c>
    </row>
    <row r="403" customFormat="false" ht="14.25" hidden="false" customHeight="false" outlineLevel="0" collapsed="false">
      <c r="A403" s="13" t="n">
        <f aca="false">'Match Results'!A102</f>
        <v>45967</v>
      </c>
      <c r="B403" s="13" t="n">
        <f aca="false">'Match Results'!B403</f>
        <v>0</v>
      </c>
      <c r="C403" s="13" t="n">
        <v>102</v>
      </c>
      <c r="D403" s="13" t="str">
        <f aca="false">'Match Results'!D102</f>
        <v>Reza</v>
      </c>
      <c r="E403" s="13" t="str">
        <f aca="false">IF('Match Results'!E102&gt;'Match Results'!F102,"Win",IF('Match Results'!E102='Match Results'!F102,"Draw","Loss"))</f>
        <v>Loss</v>
      </c>
      <c r="F403" s="13" t="n">
        <f aca="false">IF(E403="Win",3,IF(E403="Draw",2,1))</f>
        <v>1</v>
      </c>
    </row>
    <row r="404" customFormat="false" ht="14.25" hidden="false" customHeight="false" outlineLevel="0" collapsed="false">
      <c r="A404" s="13" t="n">
        <f aca="false">'Match Results'!A102</f>
        <v>45967</v>
      </c>
      <c r="B404" s="13" t="n">
        <f aca="false">'Match Results'!B404</f>
        <v>0</v>
      </c>
      <c r="C404" s="13" t="n">
        <v>102</v>
      </c>
      <c r="D404" s="13" t="str">
        <f aca="false">'Match Results'!G102</f>
        <v>Natella </v>
      </c>
      <c r="E404" s="13" t="str">
        <f aca="false">IF('Match Results'!F102&gt;'Match Results'!E102,"Win",IF('Match Results'!E102='Match Results'!F102,"Draw","Loss"))</f>
        <v>Win</v>
      </c>
      <c r="F404" s="13" t="n">
        <f aca="false">IF(E404="Win",3,IF(E404="Draw",2,1))</f>
        <v>3</v>
      </c>
    </row>
    <row r="405" customFormat="false" ht="14.25" hidden="false" customHeight="false" outlineLevel="0" collapsed="false">
      <c r="A405" s="13" t="n">
        <f aca="false">'Match Results'!A102</f>
        <v>45967</v>
      </c>
      <c r="B405" s="13" t="n">
        <f aca="false">'Match Results'!B405</f>
        <v>0</v>
      </c>
      <c r="C405" s="13" t="n">
        <v>102</v>
      </c>
      <c r="D405" s="13" t="str">
        <f aca="false">'Match Results'!H102</f>
        <v>Matthias</v>
      </c>
      <c r="E405" s="13" t="str">
        <f aca="false">IF('Match Results'!F102&gt;'Match Results'!E102,"Win",IF('Match Results'!E102='Match Results'!F102,"Draw","Loss"))</f>
        <v>Win</v>
      </c>
      <c r="F405" s="13" t="n">
        <f aca="false">IF(E405="Win",3,IF(E405="Draw",2,1))</f>
        <v>3</v>
      </c>
    </row>
    <row r="406" customFormat="false" ht="14.25" hidden="false" customHeight="false" outlineLevel="0" collapsed="false">
      <c r="A406" s="13" t="n">
        <f aca="false">'Match Results'!A103</f>
        <v>45967</v>
      </c>
      <c r="B406" s="13" t="n">
        <f aca="false">'Match Results'!B406</f>
        <v>0</v>
      </c>
      <c r="C406" s="13" t="n">
        <f aca="false">C402+1</f>
        <v>103</v>
      </c>
      <c r="D406" s="13" t="str">
        <f aca="false">'Match Results'!C103</f>
        <v>Caner</v>
      </c>
      <c r="E406" s="13" t="str">
        <f aca="false">IF('Match Results'!E103&gt;'Match Results'!F103,"Win",IF('Match Results'!E103='Match Results'!F103,"Draw","Loss"))</f>
        <v>Win</v>
      </c>
      <c r="F406" s="13" t="n">
        <f aca="false">IF(E406="Win",3,IF(E406="Draw",2,1))</f>
        <v>3</v>
      </c>
    </row>
    <row r="407" customFormat="false" ht="14.25" hidden="false" customHeight="false" outlineLevel="0" collapsed="false">
      <c r="A407" s="13" t="n">
        <f aca="false">'Match Results'!A103</f>
        <v>45967</v>
      </c>
      <c r="B407" s="13" t="n">
        <f aca="false">'Match Results'!B407</f>
        <v>0</v>
      </c>
      <c r="C407" s="13" t="n">
        <f aca="false">C403+1</f>
        <v>103</v>
      </c>
      <c r="D407" s="13" t="str">
        <f aca="false">'Match Results'!D103</f>
        <v>Joel</v>
      </c>
      <c r="E407" s="13" t="str">
        <f aca="false">IF('Match Results'!E103&gt;'Match Results'!F103,"Win",IF('Match Results'!E103='Match Results'!F103,"Draw","Loss"))</f>
        <v>Win</v>
      </c>
      <c r="F407" s="13" t="n">
        <f aca="false">IF(E407="Win",3,IF(E407="Draw",2,1))</f>
        <v>3</v>
      </c>
    </row>
    <row r="408" customFormat="false" ht="14.25" hidden="false" customHeight="false" outlineLevel="0" collapsed="false">
      <c r="A408" s="13" t="n">
        <f aca="false">'Match Results'!A103</f>
        <v>45967</v>
      </c>
      <c r="B408" s="13" t="n">
        <f aca="false">'Match Results'!B408</f>
        <v>0</v>
      </c>
      <c r="C408" s="13" t="n">
        <f aca="false">C404+1</f>
        <v>103</v>
      </c>
      <c r="D408" s="13" t="str">
        <f aca="false">'Match Results'!G103</f>
        <v>Ahmad DD </v>
      </c>
      <c r="E408" s="13" t="str">
        <f aca="false">IF('Match Results'!F103&gt;'Match Results'!E103,"Win",IF('Match Results'!E103='Match Results'!F103,"Draw","Loss"))</f>
        <v>Loss</v>
      </c>
      <c r="F408" s="13" t="n">
        <f aca="false">IF(E408="Win",3,IF(E408="Draw",2,1))</f>
        <v>1</v>
      </c>
    </row>
    <row r="409" customFormat="false" ht="14.25" hidden="false" customHeight="false" outlineLevel="0" collapsed="false">
      <c r="A409" s="13" t="n">
        <f aca="false">'Match Results'!A103</f>
        <v>45967</v>
      </c>
      <c r="B409" s="13" t="n">
        <f aca="false">'Match Results'!B409</f>
        <v>0</v>
      </c>
      <c r="C409" s="13" t="n">
        <f aca="false">C405+1</f>
        <v>103</v>
      </c>
      <c r="D409" s="13" t="str">
        <f aca="false">'Match Results'!H103</f>
        <v>Sergio </v>
      </c>
      <c r="E409" s="13" t="str">
        <f aca="false">IF('Match Results'!F103&gt;'Match Results'!E103,"Win",IF('Match Results'!E103='Match Results'!F103,"Draw","Loss"))</f>
        <v>Loss</v>
      </c>
      <c r="F409" s="13" t="n">
        <f aca="false">IF(E409="Win",3,IF(E409="Draw",2,1))</f>
        <v>1</v>
      </c>
    </row>
    <row r="410" customFormat="false" ht="14.25" hidden="false" customHeight="false" outlineLevel="0" collapsed="false">
      <c r="A410" s="13" t="n">
        <f aca="false">'Match Results'!A104</f>
        <v>45967</v>
      </c>
      <c r="B410" s="13" t="n">
        <f aca="false">'Match Results'!B410</f>
        <v>0</v>
      </c>
      <c r="C410" s="13" t="n">
        <f aca="false">C406+1</f>
        <v>104</v>
      </c>
      <c r="D410" s="13" t="str">
        <f aca="false">'Match Results'!C104</f>
        <v>Ahmad DD </v>
      </c>
      <c r="E410" s="13" t="str">
        <f aca="false">IF('Match Results'!E104&gt;'Match Results'!F104,"Win",IF('Match Results'!E104='Match Results'!F104,"Draw","Loss"))</f>
        <v>Win</v>
      </c>
      <c r="F410" s="13" t="n">
        <f aca="false">IF(E410="Win",3,IF(E410="Draw",2,1))</f>
        <v>3</v>
      </c>
      <c r="H410" s="0" t="e">
        <f aca="true" t="array" ref="H410:H410">INDIRECT(I410,TRUE())</f>
        <v>#REF!</v>
      </c>
      <c r="I410" s="0" t="str">
        <f aca="false">CONCATENATE("IF('Match Results'!","E",C410,"&gt;'Match Results'!","F",C410,",","Win",",","IF('Match Results'!","E",C410,"=","'Match Results'!","F",C410,",","Draw",",","Loss","))")</f>
        <v>IF('Match Results'!E104&gt;'Match Results'!F104,Win,IF('Match Results'!E104='Match Results'!F104,Draw,Loss))</v>
      </c>
    </row>
    <row r="411" customFormat="false" ht="14.25" hidden="false" customHeight="false" outlineLevel="0" collapsed="false">
      <c r="A411" s="13" t="n">
        <f aca="false">'Match Results'!A104</f>
        <v>45967</v>
      </c>
      <c r="B411" s="13" t="n">
        <f aca="false">'Match Results'!B411</f>
        <v>0</v>
      </c>
      <c r="C411" s="13" t="n">
        <f aca="false">C407+1</f>
        <v>104</v>
      </c>
      <c r="D411" s="13" t="str">
        <f aca="false">'Match Results'!D104</f>
        <v>Caner</v>
      </c>
      <c r="E411" s="13" t="str">
        <f aca="false">IF('Match Results'!E104&gt;'Match Results'!F104,"Win",IF('Match Results'!E104='Match Results'!F104,"Draw","Loss"))</f>
        <v>Win</v>
      </c>
      <c r="F411" s="13" t="n">
        <f aca="false">IF(E411="Win",3,IF(E411="Draw",2,1))</f>
        <v>3</v>
      </c>
      <c r="H411" s="0" t="e">
        <f aca="true" t="array" ref="H411:H411">INDIRECT(I411)</f>
        <v>#REF!</v>
      </c>
      <c r="I411" s="0" t="str">
        <f aca="false">CONCATENATE("IF('Match Results'!","E",C411,"&gt;'Match Results'!","F",C411,",","Win)")</f>
        <v>IF('Match Results'!E104&gt;'Match Results'!F104,Win)</v>
      </c>
    </row>
    <row r="412" customFormat="false" ht="14.25" hidden="false" customHeight="false" outlineLevel="0" collapsed="false">
      <c r="A412" s="13" t="n">
        <f aca="false">'Match Results'!A104</f>
        <v>45967</v>
      </c>
      <c r="B412" s="13" t="n">
        <f aca="false">'Match Results'!B412</f>
        <v>0</v>
      </c>
      <c r="C412" s="13" t="n">
        <f aca="false">C408+1</f>
        <v>104</v>
      </c>
      <c r="D412" s="13" t="str">
        <f aca="false">'Match Results'!G104</f>
        <v>Joel</v>
      </c>
      <c r="E412" s="13" t="str">
        <f aca="false">IF('Match Results'!F104&gt;'Match Results'!E104,"Win",IF('Match Results'!E104='Match Results'!F104,"Draw","Loss"))</f>
        <v>Loss</v>
      </c>
      <c r="F412" s="13" t="n">
        <f aca="false">IF(E412="Win",3,IF(E412="Draw",2,1))</f>
        <v>1</v>
      </c>
    </row>
    <row r="413" customFormat="false" ht="14.25" hidden="false" customHeight="false" outlineLevel="0" collapsed="false">
      <c r="A413" s="13" t="n">
        <f aca="false">'Match Results'!A104</f>
        <v>45967</v>
      </c>
      <c r="B413" s="13" t="n">
        <f aca="false">'Match Results'!B413</f>
        <v>0</v>
      </c>
      <c r="C413" s="13" t="n">
        <f aca="false">C409+1</f>
        <v>104</v>
      </c>
      <c r="D413" s="13" t="str">
        <f aca="false">'Match Results'!H104</f>
        <v>Renato</v>
      </c>
      <c r="E413" s="13" t="str">
        <f aca="false">IF('Match Results'!F104&gt;'Match Results'!E104,"Win",IF('Match Results'!E104='Match Results'!F104,"Draw","Loss"))</f>
        <v>Loss</v>
      </c>
      <c r="F413" s="13" t="n">
        <f aca="false">IF(E413="Win",3,IF(E413="Draw",2,1))</f>
        <v>1</v>
      </c>
    </row>
    <row r="414" customFormat="false" ht="14.25" hidden="false" customHeight="false" outlineLevel="0" collapsed="false">
      <c r="A414" s="13" t="n">
        <f aca="false">'Match Results'!A105</f>
        <v>45967</v>
      </c>
      <c r="B414" s="13" t="n">
        <f aca="false">'Match Results'!B414</f>
        <v>0</v>
      </c>
      <c r="C414" s="13" t="n">
        <f aca="false">C410+1</f>
        <v>105</v>
      </c>
      <c r="D414" s="13" t="str">
        <f aca="false">'Match Results'!C105</f>
        <v>Sergio </v>
      </c>
      <c r="E414" s="13" t="str">
        <f aca="false">IF('Match Results'!E105&gt;'Match Results'!F105,"Win",IF('Match Results'!E105='Match Results'!F105,"Draw","Loss"))</f>
        <v>Loss</v>
      </c>
      <c r="F414" s="13" t="n">
        <f aca="false">IF(E414="Win",3,IF(E414="Draw",2,1))</f>
        <v>1</v>
      </c>
    </row>
    <row r="415" customFormat="false" ht="14.25" hidden="false" customHeight="false" outlineLevel="0" collapsed="false">
      <c r="A415" s="13" t="n">
        <f aca="false">'Match Results'!A105</f>
        <v>45967</v>
      </c>
      <c r="B415" s="13" t="n">
        <f aca="false">'Match Results'!B415</f>
        <v>0</v>
      </c>
      <c r="C415" s="13" t="n">
        <f aca="false">C411+1</f>
        <v>105</v>
      </c>
      <c r="D415" s="13" t="str">
        <f aca="false">'Match Results'!D105</f>
        <v>Jamil</v>
      </c>
      <c r="E415" s="13" t="str">
        <f aca="false">IF('Match Results'!E105&gt;'Match Results'!F105,"Win",IF('Match Results'!E105='Match Results'!F105,"Draw","Loss"))</f>
        <v>Loss</v>
      </c>
      <c r="F415" s="13" t="n">
        <f aca="false">IF(E415="Win",3,IF(E415="Draw",2,1))</f>
        <v>1</v>
      </c>
    </row>
    <row r="416" customFormat="false" ht="14.25" hidden="false" customHeight="false" outlineLevel="0" collapsed="false">
      <c r="A416" s="13" t="n">
        <f aca="false">'Match Results'!A105</f>
        <v>45967</v>
      </c>
      <c r="B416" s="13" t="n">
        <f aca="false">'Match Results'!B416</f>
        <v>0</v>
      </c>
      <c r="C416" s="13" t="n">
        <f aca="false">C412+1</f>
        <v>105</v>
      </c>
      <c r="D416" s="13" t="str">
        <f aca="false">'Match Results'!G105</f>
        <v>Amit</v>
      </c>
      <c r="E416" s="13" t="str">
        <f aca="false">IF('Match Results'!F105&gt;'Match Results'!E105,"Win",IF('Match Results'!E104='Match Results'!F104,"Draw","Loss"))</f>
        <v>Win</v>
      </c>
      <c r="F416" s="13" t="n">
        <f aca="false">IF(E416="Win",3,IF(E416="Draw",2,1))</f>
        <v>3</v>
      </c>
    </row>
    <row r="417" customFormat="false" ht="14.25" hidden="false" customHeight="false" outlineLevel="0" collapsed="false">
      <c r="A417" s="13" t="n">
        <f aca="false">'Match Results'!A105</f>
        <v>45967</v>
      </c>
      <c r="B417" s="13" t="n">
        <f aca="false">'Match Results'!B417</f>
        <v>0</v>
      </c>
      <c r="C417" s="13" t="n">
        <f aca="false">C413+1</f>
        <v>105</v>
      </c>
      <c r="D417" s="13" t="str">
        <f aca="false">'Match Results'!H105</f>
        <v>Sharuk</v>
      </c>
      <c r="E417" s="13" t="str">
        <f aca="false">IF('Match Results'!F105&gt;'Match Results'!E105,"Win",IF('Match Results'!E104='Match Results'!F104,"Draw","Loss"))</f>
        <v>Win</v>
      </c>
      <c r="F417" s="13" t="n">
        <f aca="false">IF(E417="Win",3,IF(E417="Draw",2,1))</f>
        <v>3</v>
      </c>
    </row>
    <row r="418" customFormat="false" ht="14.25" hidden="false" customHeight="false" outlineLevel="0" collapsed="false">
      <c r="A418" s="13" t="n">
        <f aca="false">'Match Results'!A106</f>
        <v>45967</v>
      </c>
      <c r="B418" s="13" t="n">
        <f aca="false">'Match Results'!B418</f>
        <v>0</v>
      </c>
      <c r="C418" s="13" t="n">
        <f aca="false">C414+1</f>
        <v>106</v>
      </c>
      <c r="D418" s="13" t="str">
        <f aca="false">'Match Results'!C106</f>
        <v>Andreas</v>
      </c>
      <c r="E418" s="13" t="str">
        <f aca="false">IF('Match Results'!E106&gt;'Match Results'!F106,"Win",IF('Match Results'!E106='Match Results'!F106,"Draw","Loss"))</f>
        <v>Loss</v>
      </c>
      <c r="F418" s="13" t="n">
        <f aca="false">IF(E418="Win",3,IF(E418="Draw",2,1))</f>
        <v>1</v>
      </c>
    </row>
    <row r="419" customFormat="false" ht="14.25" hidden="false" customHeight="false" outlineLevel="0" collapsed="false">
      <c r="A419" s="13" t="n">
        <f aca="false">'Match Results'!A106</f>
        <v>45967</v>
      </c>
      <c r="B419" s="13" t="n">
        <f aca="false">'Match Results'!B419</f>
        <v>0</v>
      </c>
      <c r="C419" s="13" t="n">
        <f aca="false">C415+1</f>
        <v>106</v>
      </c>
      <c r="D419" s="13" t="str">
        <f aca="false">'Match Results'!D106</f>
        <v>Natella </v>
      </c>
      <c r="E419" s="13" t="str">
        <f aca="false">IF('Match Results'!E106&gt;'Match Results'!F106,"Win",IF('Match Results'!E106='Match Results'!F106,"Draw","Loss"))</f>
        <v>Loss</v>
      </c>
      <c r="F419" s="13" t="n">
        <f aca="false">IF(E419="Win",3,IF(E419="Draw",2,1))</f>
        <v>1</v>
      </c>
    </row>
    <row r="420" customFormat="false" ht="14.25" hidden="false" customHeight="false" outlineLevel="0" collapsed="false">
      <c r="A420" s="13" t="n">
        <f aca="false">'Match Results'!A106</f>
        <v>45967</v>
      </c>
      <c r="B420" s="13" t="n">
        <f aca="false">'Match Results'!B420</f>
        <v>0</v>
      </c>
      <c r="C420" s="13" t="n">
        <f aca="false">C416+1</f>
        <v>106</v>
      </c>
      <c r="D420" s="13" t="str">
        <f aca="false">'Match Results'!G106</f>
        <v>Matthias</v>
      </c>
      <c r="E420" s="13" t="str">
        <f aca="false">IF('Match Results'!F106&gt;'Match Results'!E106,"Win",IF('Match Results'!E106='Match Results'!F106,"Draw","Loss"))</f>
        <v>Win</v>
      </c>
      <c r="F420" s="13" t="n">
        <f aca="false">IF(E420="Win",3,IF(E420="Draw",2,1))</f>
        <v>3</v>
      </c>
    </row>
    <row r="421" customFormat="false" ht="14.25" hidden="false" customHeight="false" outlineLevel="0" collapsed="false">
      <c r="A421" s="13" t="n">
        <f aca="false">'Match Results'!A106</f>
        <v>45967</v>
      </c>
      <c r="B421" s="13" t="n">
        <f aca="false">'Match Results'!B421</f>
        <v>0</v>
      </c>
      <c r="C421" s="13" t="n">
        <f aca="false">C417+1</f>
        <v>106</v>
      </c>
      <c r="D421" s="13" t="str">
        <f aca="false">'Match Results'!H106</f>
        <v>Renato</v>
      </c>
      <c r="E421" s="13" t="str">
        <f aca="false">IF('Match Results'!F106&gt;'Match Results'!E106,"Win",IF('Match Results'!E106='Match Results'!F106,"Draw","Loss"))</f>
        <v>Win</v>
      </c>
      <c r="F421" s="13" t="n">
        <f aca="false">IF(E421="Win",3,IF(E421="Draw",2,1))</f>
        <v>3</v>
      </c>
    </row>
    <row r="422" customFormat="false" ht="14.25" hidden="false" customHeight="false" outlineLevel="0" collapsed="false">
      <c r="A422" s="13" t="n">
        <f aca="false">'Match Results'!A107</f>
        <v>45967</v>
      </c>
      <c r="B422" s="13" t="n">
        <f aca="false">'Match Results'!B422</f>
        <v>0</v>
      </c>
      <c r="C422" s="13" t="n">
        <f aca="false">C418+1</f>
        <v>107</v>
      </c>
      <c r="D422" s="13" t="str">
        <f aca="false">'Match Results'!C107</f>
        <v>Bruno</v>
      </c>
      <c r="E422" s="13" t="str">
        <f aca="false">IF('Match Results'!E107&gt;'Match Results'!F107,"Win",IF('Match Results'!E107='Match Results'!F107,"Draw","Loss"))</f>
        <v>Win</v>
      </c>
      <c r="F422" s="13" t="n">
        <f aca="false">IF(E422="Win",3,IF(E422="Draw",2,1))</f>
        <v>3</v>
      </c>
    </row>
    <row r="423" customFormat="false" ht="14.25" hidden="false" customHeight="false" outlineLevel="0" collapsed="false">
      <c r="A423" s="13" t="n">
        <f aca="false">'Match Results'!A107</f>
        <v>45967</v>
      </c>
      <c r="B423" s="13" t="n">
        <f aca="false">'Match Results'!B423</f>
        <v>0</v>
      </c>
      <c r="C423" s="13" t="n">
        <f aca="false">C419+1</f>
        <v>107</v>
      </c>
      <c r="D423" s="13" t="str">
        <f aca="false">'Match Results'!D107</f>
        <v>Iuliana</v>
      </c>
      <c r="E423" s="13" t="str">
        <f aca="false">IF('Match Results'!E107&gt;'Match Results'!F107,"Win",IF('Match Results'!E107='Match Results'!F107,"Draw","Loss"))</f>
        <v>Win</v>
      </c>
      <c r="F423" s="13" t="n">
        <f aca="false">IF(E423="Win",3,IF(E423="Draw",2,1))</f>
        <v>3</v>
      </c>
    </row>
    <row r="424" customFormat="false" ht="14.25" hidden="false" customHeight="false" outlineLevel="0" collapsed="false">
      <c r="A424" s="13" t="n">
        <f aca="false">'Match Results'!A107</f>
        <v>45967</v>
      </c>
      <c r="B424" s="13" t="n">
        <f aca="false">'Match Results'!B424</f>
        <v>0</v>
      </c>
      <c r="C424" s="13" t="n">
        <f aca="false">C420+1</f>
        <v>107</v>
      </c>
      <c r="D424" s="13" t="str">
        <f aca="false">'Match Results'!G107</f>
        <v>Reza</v>
      </c>
      <c r="E424" s="13" t="str">
        <f aca="false">IF('Match Results'!F107&gt;'Match Results'!E107,"Win",IF('Match Results'!E107='Match Results'!F107,"Draw","Loss"))</f>
        <v>Loss</v>
      </c>
      <c r="F424" s="13" t="n">
        <f aca="false">IF(E424="Win",3,IF(E424="Draw",2,1))</f>
        <v>1</v>
      </c>
    </row>
    <row r="425" customFormat="false" ht="14.25" hidden="false" customHeight="false" outlineLevel="0" collapsed="false">
      <c r="A425" s="13" t="n">
        <f aca="false">'Match Results'!A107</f>
        <v>45967</v>
      </c>
      <c r="B425" s="13" t="n">
        <f aca="false">'Match Results'!B425</f>
        <v>0</v>
      </c>
      <c r="C425" s="13" t="n">
        <f aca="false">C421+1</f>
        <v>107</v>
      </c>
      <c r="D425" s="13" t="str">
        <f aca="false">'Match Results'!H107</f>
        <v>Jamil</v>
      </c>
      <c r="E425" s="13" t="str">
        <f aca="false">IF('Match Results'!F107&gt;'Match Results'!E107,"Win",IF('Match Results'!E107='Match Results'!F107,"Draw","Loss"))</f>
        <v>Loss</v>
      </c>
      <c r="F425" s="13" t="n">
        <f aca="false">IF(E425="Win",3,IF(E425="Draw",2,1))</f>
        <v>1</v>
      </c>
    </row>
    <row r="426" customFormat="false" ht="14.25" hidden="false" customHeight="false" outlineLevel="0" collapsed="false">
      <c r="A426" s="13" t="n">
        <f aca="false">'Match Results'!A108</f>
        <v>45967</v>
      </c>
      <c r="B426" s="13" t="n">
        <f aca="false">'Match Results'!B426</f>
        <v>0</v>
      </c>
      <c r="C426" s="13" t="n">
        <f aca="false">C422+1</f>
        <v>108</v>
      </c>
      <c r="D426" s="13" t="str">
        <f aca="false">'Match Results'!C108</f>
        <v>Caner</v>
      </c>
      <c r="E426" s="13" t="str">
        <f aca="false">IF('Match Results'!E108&gt;'Match Results'!F108,"Win",IF('Match Results'!E108='Match Results'!F108,"Draw","Loss"))</f>
        <v>Win</v>
      </c>
      <c r="F426" s="13" t="n">
        <f aca="false">IF(E426="Win",3,IF(E426="Draw",2,1))</f>
        <v>3</v>
      </c>
    </row>
    <row r="427" customFormat="false" ht="14.25" hidden="false" customHeight="false" outlineLevel="0" collapsed="false">
      <c r="A427" s="13" t="n">
        <f aca="false">'Match Results'!A108</f>
        <v>45967</v>
      </c>
      <c r="B427" s="13" t="n">
        <f aca="false">'Match Results'!B427</f>
        <v>0</v>
      </c>
      <c r="C427" s="13" t="n">
        <f aca="false">C423+1</f>
        <v>108</v>
      </c>
      <c r="D427" s="13" t="str">
        <f aca="false">'Match Results'!D108</f>
        <v>Matthias</v>
      </c>
      <c r="E427" s="13" t="str">
        <f aca="false">IF('Match Results'!E108&gt;'Match Results'!F108,"Win",IF('Match Results'!E108='Match Results'!F108,"Draw","Loss"))</f>
        <v>Win</v>
      </c>
      <c r="F427" s="13" t="n">
        <f aca="false">IF(E427="Win",3,IF(E427="Draw",2,1))</f>
        <v>3</v>
      </c>
    </row>
    <row r="428" customFormat="false" ht="14.25" hidden="false" customHeight="false" outlineLevel="0" collapsed="false">
      <c r="A428" s="13" t="n">
        <f aca="false">'Match Results'!A108</f>
        <v>45967</v>
      </c>
      <c r="B428" s="13" t="n">
        <f aca="false">'Match Results'!B428</f>
        <v>0</v>
      </c>
      <c r="C428" s="13" t="n">
        <f aca="false">C424+1</f>
        <v>108</v>
      </c>
      <c r="D428" s="13" t="str">
        <f aca="false">'Match Results'!G108</f>
        <v>Sergio </v>
      </c>
      <c r="E428" s="13" t="str">
        <f aca="false">IF('Match Results'!F108&gt;'Match Results'!E108,"Win",IF('Match Results'!E108='Match Results'!F108,"Draw","Loss"))</f>
        <v>Loss</v>
      </c>
      <c r="F428" s="13" t="n">
        <f aca="false">IF(E428="Win",3,IF(E428="Draw",2,1))</f>
        <v>1</v>
      </c>
    </row>
    <row r="429" customFormat="false" ht="14.25" hidden="false" customHeight="false" outlineLevel="0" collapsed="false">
      <c r="A429" s="13" t="n">
        <f aca="false">'Match Results'!A108</f>
        <v>45967</v>
      </c>
      <c r="B429" s="13" t="n">
        <f aca="false">'Match Results'!B429</f>
        <v>0</v>
      </c>
      <c r="C429" s="13" t="n">
        <f aca="false">C425+1</f>
        <v>108</v>
      </c>
      <c r="D429" s="13" t="str">
        <f aca="false">'Match Results'!H108</f>
        <v>Natella </v>
      </c>
      <c r="E429" s="13" t="str">
        <f aca="false">IF('Match Results'!F108&gt;'Match Results'!E108,"Win",IF('Match Results'!E108='Match Results'!F108,"Draw","Loss"))</f>
        <v>Loss</v>
      </c>
      <c r="F429" s="13" t="n">
        <f aca="false">IF(E429="Win",3,IF(E429="Draw",2,1))</f>
        <v>1</v>
      </c>
    </row>
    <row r="430" customFormat="false" ht="14.25" hidden="false" customHeight="false" outlineLevel="0" collapsed="false">
      <c r="A430" s="13" t="n">
        <f aca="false">'Match Results'!A109</f>
        <v>45967</v>
      </c>
      <c r="B430" s="13" t="n">
        <f aca="false">'Match Results'!B430</f>
        <v>0</v>
      </c>
      <c r="C430" s="13" t="n">
        <f aca="false">C426+1</f>
        <v>109</v>
      </c>
      <c r="D430" s="13" t="str">
        <f aca="false">'Match Results'!C109</f>
        <v>Ahmad DD </v>
      </c>
      <c r="E430" s="13" t="str">
        <f aca="false">IF('Match Results'!E109&gt;'Match Results'!F109,"Win",IF('Match Results'!E109='Match Results'!F109,"Draw","Loss"))</f>
        <v>Win</v>
      </c>
      <c r="F430" s="13" t="n">
        <f aca="false">IF(E430="Win",3,IF(E430="Draw",2,1))</f>
        <v>3</v>
      </c>
    </row>
    <row r="431" customFormat="false" ht="14.25" hidden="false" customHeight="false" outlineLevel="0" collapsed="false">
      <c r="A431" s="13" t="n">
        <f aca="false">'Match Results'!A109</f>
        <v>45967</v>
      </c>
      <c r="B431" s="13" t="n">
        <f aca="false">'Match Results'!B431</f>
        <v>0</v>
      </c>
      <c r="C431" s="13" t="n">
        <f aca="false">C427+1</f>
        <v>109</v>
      </c>
      <c r="D431" s="13" t="str">
        <f aca="false">'Match Results'!D109</f>
        <v>Andreas</v>
      </c>
      <c r="E431" s="13" t="str">
        <f aca="false">IF('Match Results'!E109&gt;'Match Results'!F109,"Win",IF('Match Results'!E109='Match Results'!F109,"Draw","Loss"))</f>
        <v>Win</v>
      </c>
      <c r="F431" s="13" t="n">
        <f aca="false">IF(E431="Win",3,IF(E431="Draw",2,1))</f>
        <v>3</v>
      </c>
    </row>
    <row r="432" customFormat="false" ht="14.25" hidden="false" customHeight="false" outlineLevel="0" collapsed="false">
      <c r="A432" s="13" t="n">
        <f aca="false">'Match Results'!A109</f>
        <v>45967</v>
      </c>
      <c r="B432" s="13" t="n">
        <f aca="false">'Match Results'!B432</f>
        <v>0</v>
      </c>
      <c r="C432" s="13" t="n">
        <f aca="false">C428+1</f>
        <v>109</v>
      </c>
      <c r="D432" s="13" t="str">
        <f aca="false">'Match Results'!G109</f>
        <v>Renato</v>
      </c>
      <c r="E432" s="13" t="str">
        <f aca="false">IF('Match Results'!F109&gt;'Match Results'!E109,"Win",IF('Match Results'!E109='Match Results'!F109,"Draw","Loss"))</f>
        <v>Loss</v>
      </c>
      <c r="F432" s="13" t="n">
        <f aca="false">IF(E432="Win",3,IF(E432="Draw",2,1))</f>
        <v>1</v>
      </c>
    </row>
    <row r="433" customFormat="false" ht="14.25" hidden="false" customHeight="false" outlineLevel="0" collapsed="false">
      <c r="A433" s="13" t="n">
        <f aca="false">'Match Results'!A109</f>
        <v>45967</v>
      </c>
      <c r="B433" s="13" t="n">
        <f aca="false">'Match Results'!B433</f>
        <v>0</v>
      </c>
      <c r="C433" s="13" t="n">
        <f aca="false">C429+1</f>
        <v>109</v>
      </c>
      <c r="D433" s="13" t="str">
        <f aca="false">'Match Results'!H109</f>
        <v>Joel</v>
      </c>
      <c r="E433" s="13" t="str">
        <f aca="false">IF('Match Results'!F109&gt;'Match Results'!E109,"Win",IF('Match Results'!E109='Match Results'!F109,"Draw","Loss"))</f>
        <v>Loss</v>
      </c>
      <c r="F433" s="13" t="n">
        <f aca="false">IF(E433="Win",3,IF(E433="Draw",2,1))</f>
        <v>1</v>
      </c>
    </row>
    <row r="434" customFormat="false" ht="14.25" hidden="false" customHeight="false" outlineLevel="0" collapsed="false">
      <c r="A434" s="13" t="n">
        <f aca="false">'Match Results'!A110</f>
        <v>45967</v>
      </c>
      <c r="B434" s="13" t="n">
        <f aca="false">'Match Results'!B434</f>
        <v>0</v>
      </c>
      <c r="C434" s="13" t="n">
        <f aca="false">C430+1</f>
        <v>110</v>
      </c>
      <c r="D434" s="13" t="str">
        <f aca="false">'Match Results'!C110</f>
        <v>Sharuk</v>
      </c>
      <c r="E434" s="13" t="str">
        <f aca="false">IF('Match Results'!E110&gt;'Match Results'!F110,"Win",IF('Match Results'!E110='Match Results'!F110,"Draw","Loss"))</f>
        <v>Loss</v>
      </c>
      <c r="F434" s="13" t="n">
        <f aca="false">IF(E434="Win",3,IF(E434="Draw",2,1))</f>
        <v>1</v>
      </c>
    </row>
    <row r="435" customFormat="false" ht="14.25" hidden="false" customHeight="false" outlineLevel="0" collapsed="false">
      <c r="A435" s="13" t="n">
        <f aca="false">'Match Results'!A110</f>
        <v>45967</v>
      </c>
      <c r="B435" s="13" t="n">
        <f aca="false">'Match Results'!B435</f>
        <v>0</v>
      </c>
      <c r="C435" s="13" t="n">
        <f aca="false">C431+1</f>
        <v>110</v>
      </c>
      <c r="D435" s="13" t="str">
        <f aca="false">'Match Results'!D110</f>
        <v>Iuliana</v>
      </c>
      <c r="E435" s="13" t="str">
        <f aca="false">IF('Match Results'!E110&gt;'Match Results'!F110,"Win",IF('Match Results'!E110='Match Results'!F110,"Draw","Loss"))</f>
        <v>Loss</v>
      </c>
      <c r="F435" s="13" t="n">
        <f aca="false">IF(E435="Win",3,IF(E435="Draw",2,1))</f>
        <v>1</v>
      </c>
    </row>
    <row r="436" customFormat="false" ht="14.25" hidden="false" customHeight="false" outlineLevel="0" collapsed="false">
      <c r="A436" s="13" t="n">
        <f aca="false">'Match Results'!A110</f>
        <v>45967</v>
      </c>
      <c r="B436" s="13" t="n">
        <f aca="false">'Match Results'!B436</f>
        <v>0</v>
      </c>
      <c r="C436" s="13" t="n">
        <f aca="false">C432+1</f>
        <v>110</v>
      </c>
      <c r="D436" s="13" t="str">
        <f aca="false">'Match Results'!G110</f>
        <v>Amit</v>
      </c>
      <c r="E436" s="13" t="str">
        <f aca="false">IF('Match Results'!F110&gt;'Match Results'!E110,"Win",IF('Match Results'!E110='Match Results'!F110,"Draw","Loss"))</f>
        <v>Win</v>
      </c>
      <c r="F436" s="13" t="n">
        <f aca="false">IF(E436="Win",3,IF(E436="Draw",2,1))</f>
        <v>3</v>
      </c>
    </row>
    <row r="437" customFormat="false" ht="14.25" hidden="false" customHeight="false" outlineLevel="0" collapsed="false">
      <c r="A437" s="13" t="n">
        <f aca="false">'Match Results'!A110</f>
        <v>45967</v>
      </c>
      <c r="B437" s="13" t="n">
        <f aca="false">'Match Results'!B437</f>
        <v>0</v>
      </c>
      <c r="C437" s="13" t="n">
        <f aca="false">C433+1</f>
        <v>110</v>
      </c>
      <c r="D437" s="13" t="str">
        <f aca="false">'Match Results'!H110</f>
        <v>Bruno</v>
      </c>
      <c r="E437" s="13" t="str">
        <f aca="false">IF('Match Results'!F110&gt;'Match Results'!E110,"Win",IF('Match Results'!E110='Match Results'!F110,"Draw","Loss"))</f>
        <v>Win</v>
      </c>
      <c r="F437" s="13" t="n">
        <f aca="false">IF(E437="Win",3,IF(E437="Draw",2,1))</f>
        <v>3</v>
      </c>
    </row>
    <row r="438" customFormat="false" ht="14.25" hidden="false" customHeight="false" outlineLevel="0" collapsed="false">
      <c r="A438" s="13" t="n">
        <f aca="false">'Match Results'!A111</f>
        <v>45967</v>
      </c>
      <c r="B438" s="13" t="n">
        <f aca="false">'Match Results'!B438</f>
        <v>0</v>
      </c>
      <c r="C438" s="13" t="n">
        <f aca="false">C434+1</f>
        <v>111</v>
      </c>
      <c r="D438" s="13" t="str">
        <f aca="false">'Match Results'!C111</f>
        <v>Matthias</v>
      </c>
      <c r="E438" s="13" t="str">
        <f aca="false">IF('Match Results'!E111&gt;'Match Results'!F111,"Win",IF('Match Results'!E111='Match Results'!F111,"Draw","Loss"))</f>
        <v>Win</v>
      </c>
      <c r="F438" s="13" t="n">
        <f aca="false">IF(E438="Win",3,IF(E438="Draw",2,1))</f>
        <v>3</v>
      </c>
    </row>
    <row r="439" customFormat="false" ht="14.25" hidden="false" customHeight="false" outlineLevel="0" collapsed="false">
      <c r="A439" s="13" t="n">
        <f aca="false">'Match Results'!A111</f>
        <v>45967</v>
      </c>
      <c r="B439" s="13" t="n">
        <f aca="false">'Match Results'!B439</f>
        <v>0</v>
      </c>
      <c r="C439" s="13" t="n">
        <f aca="false">C435+1</f>
        <v>111</v>
      </c>
      <c r="D439" s="13" t="str">
        <f aca="false">'Match Results'!D111</f>
        <v>Natella </v>
      </c>
      <c r="E439" s="13" t="str">
        <f aca="false">IF('Match Results'!E111&gt;'Match Results'!F111,"Win",IF('Match Results'!E111='Match Results'!F111,"Draw","Loss"))</f>
        <v>Win</v>
      </c>
      <c r="F439" s="13" t="n">
        <f aca="false">IF(E439="Win",3,IF(E439="Draw",2,1))</f>
        <v>3</v>
      </c>
    </row>
    <row r="440" customFormat="false" ht="14.25" hidden="false" customHeight="false" outlineLevel="0" collapsed="false">
      <c r="A440" s="13" t="n">
        <f aca="false">'Match Results'!A111</f>
        <v>45967</v>
      </c>
      <c r="B440" s="13" t="n">
        <f aca="false">'Match Results'!B440</f>
        <v>0</v>
      </c>
      <c r="C440" s="13" t="n">
        <f aca="false">C436+1</f>
        <v>111</v>
      </c>
      <c r="D440" s="13" t="str">
        <f aca="false">'Match Results'!G111</f>
        <v>Jamil</v>
      </c>
      <c r="E440" s="13" t="str">
        <f aca="false">IF('Match Results'!F111&gt;'Match Results'!E111,"Win",IF('Match Results'!E111='Match Results'!F111,"Draw","Loss"))</f>
        <v>Loss</v>
      </c>
      <c r="F440" s="13" t="n">
        <f aca="false">IF(E440="Win",3,IF(E440="Draw",2,1))</f>
        <v>1</v>
      </c>
    </row>
    <row r="441" customFormat="false" ht="14.25" hidden="false" customHeight="false" outlineLevel="0" collapsed="false">
      <c r="A441" s="13" t="n">
        <f aca="false">'Match Results'!A111</f>
        <v>45967</v>
      </c>
      <c r="B441" s="13" t="n">
        <f aca="false">'Match Results'!B441</f>
        <v>0</v>
      </c>
      <c r="C441" s="13" t="n">
        <f aca="false">C437+1</f>
        <v>111</v>
      </c>
      <c r="D441" s="13" t="str">
        <f aca="false">'Match Results'!H111</f>
        <v>Sergio </v>
      </c>
      <c r="E441" s="13" t="str">
        <f aca="false">IF('Match Results'!F111&gt;'Match Results'!E111,"Win",IF('Match Results'!E111='Match Results'!F111,"Draw","Loss"))</f>
        <v>Loss</v>
      </c>
      <c r="F441" s="13" t="n">
        <f aca="false">IF(E441="Win",3,IF(E441="Draw",2,1))</f>
        <v>1</v>
      </c>
    </row>
    <row r="442" customFormat="false" ht="14.25" hidden="false" customHeight="false" outlineLevel="0" collapsed="false">
      <c r="A442" s="13" t="n">
        <f aca="false">'Match Results'!A112</f>
        <v>45967</v>
      </c>
      <c r="B442" s="13" t="n">
        <f aca="false">'Match Results'!B442</f>
        <v>0</v>
      </c>
      <c r="C442" s="13" t="n">
        <f aca="false">C438+1</f>
        <v>112</v>
      </c>
      <c r="D442" s="13" t="str">
        <f aca="false">'Match Results'!C112</f>
        <v>Caner</v>
      </c>
      <c r="E442" s="13" t="str">
        <f aca="false">IF('Match Results'!E112&gt;'Match Results'!F112,"Win",IF('Match Results'!E112='Match Results'!F112,"Draw","Loss"))</f>
        <v>Win</v>
      </c>
      <c r="F442" s="13" t="n">
        <f aca="false">IF(E442="Win",3,IF(E442="Draw",2,1))</f>
        <v>3</v>
      </c>
    </row>
    <row r="443" customFormat="false" ht="14.25" hidden="false" customHeight="false" outlineLevel="0" collapsed="false">
      <c r="A443" s="13" t="n">
        <f aca="false">'Match Results'!A112</f>
        <v>45967</v>
      </c>
      <c r="B443" s="13" t="n">
        <f aca="false">'Match Results'!B443</f>
        <v>0</v>
      </c>
      <c r="C443" s="13" t="n">
        <f aca="false">C439+1</f>
        <v>112</v>
      </c>
      <c r="D443" s="13" t="str">
        <f aca="false">'Match Results'!D112</f>
        <v>Sharuk</v>
      </c>
      <c r="E443" s="13" t="str">
        <f aca="false">IF('Match Results'!E112&gt;'Match Results'!F112,"Win",IF('Match Results'!E112='Match Results'!F112,"Draw","Loss"))</f>
        <v>Win</v>
      </c>
      <c r="F443" s="13" t="n">
        <f aca="false">IF(E443="Win",3,IF(E443="Draw",2,1))</f>
        <v>3</v>
      </c>
    </row>
    <row r="444" customFormat="false" ht="14.25" hidden="false" customHeight="false" outlineLevel="0" collapsed="false">
      <c r="A444" s="13" t="n">
        <f aca="false">'Match Results'!A112</f>
        <v>45967</v>
      </c>
      <c r="B444" s="13" t="n">
        <f aca="false">'Match Results'!B444</f>
        <v>0</v>
      </c>
      <c r="C444" s="13" t="n">
        <f aca="false">C440+1</f>
        <v>112</v>
      </c>
      <c r="D444" s="13" t="str">
        <f aca="false">'Match Results'!G112</f>
        <v>Iuliana</v>
      </c>
      <c r="E444" s="13" t="str">
        <f aca="false">IF('Match Results'!F112&gt;'Match Results'!E112,"Win",IF('Match Results'!E112='Match Results'!F112,"Draw","Loss"))</f>
        <v>Loss</v>
      </c>
      <c r="F444" s="13" t="n">
        <f aca="false">IF(E444="Win",3,IF(E444="Draw",2,1))</f>
        <v>1</v>
      </c>
    </row>
    <row r="445" customFormat="false" ht="14.25" hidden="false" customHeight="false" outlineLevel="0" collapsed="false">
      <c r="A445" s="13" t="n">
        <f aca="false">'Match Results'!A112</f>
        <v>45967</v>
      </c>
      <c r="B445" s="13" t="n">
        <f aca="false">'Match Results'!B445</f>
        <v>0</v>
      </c>
      <c r="C445" s="13" t="n">
        <f aca="false">C441+1</f>
        <v>112</v>
      </c>
      <c r="D445" s="13" t="str">
        <f aca="false">'Match Results'!H112</f>
        <v>Bruno</v>
      </c>
      <c r="E445" s="13" t="str">
        <f aca="false">IF('Match Results'!F112&gt;'Match Results'!E112,"Win",IF('Match Results'!E112='Match Results'!F112,"Draw","Loss"))</f>
        <v>Loss</v>
      </c>
      <c r="F445" s="13" t="n">
        <f aca="false">IF(E445="Win",3,IF(E445="Draw",2,1))</f>
        <v>1</v>
      </c>
    </row>
    <row r="446" customFormat="false" ht="14.25" hidden="false" customHeight="false" outlineLevel="0" collapsed="false">
      <c r="A446" s="13" t="n">
        <f aca="false">'Match Results'!A113</f>
        <v>45967</v>
      </c>
      <c r="B446" s="13" t="n">
        <f aca="false">'Match Results'!B446</f>
        <v>0</v>
      </c>
      <c r="C446" s="13" t="n">
        <f aca="false">C442+1</f>
        <v>113</v>
      </c>
      <c r="D446" s="13" t="str">
        <f aca="false">'Match Results'!C113</f>
        <v>Andreas</v>
      </c>
      <c r="E446" s="13" t="str">
        <f aca="false">IF('Match Results'!E113&gt;'Match Results'!F113,"Win",IF('Match Results'!E113='Match Results'!F113,"Draw","Loss"))</f>
        <v>Win</v>
      </c>
      <c r="F446" s="13" t="n">
        <f aca="false">IF(E446="Win",3,IF(E446="Draw",2,1))</f>
        <v>3</v>
      </c>
    </row>
    <row r="447" customFormat="false" ht="14.25" hidden="false" customHeight="false" outlineLevel="0" collapsed="false">
      <c r="A447" s="13" t="n">
        <f aca="false">'Match Results'!A113</f>
        <v>45967</v>
      </c>
      <c r="B447" s="13" t="n">
        <f aca="false">'Match Results'!B447</f>
        <v>0</v>
      </c>
      <c r="C447" s="13" t="n">
        <f aca="false">C443+1</f>
        <v>113</v>
      </c>
      <c r="D447" s="13" t="str">
        <f aca="false">'Match Results'!D113</f>
        <v>Sergio </v>
      </c>
      <c r="E447" s="13" t="str">
        <f aca="false">IF('Match Results'!E113&gt;'Match Results'!F113,"Win",IF('Match Results'!E113='Match Results'!F113,"Draw","Loss"))</f>
        <v>Win</v>
      </c>
      <c r="F447" s="13" t="n">
        <f aca="false">IF(E447="Win",3,IF(E447="Draw",2,1))</f>
        <v>3</v>
      </c>
    </row>
    <row r="448" customFormat="false" ht="14.25" hidden="false" customHeight="false" outlineLevel="0" collapsed="false">
      <c r="A448" s="13" t="n">
        <f aca="false">'Match Results'!A113</f>
        <v>45967</v>
      </c>
      <c r="B448" s="13" t="n">
        <f aca="false">'Match Results'!B448</f>
        <v>0</v>
      </c>
      <c r="C448" s="13" t="n">
        <f aca="false">C444+1</f>
        <v>113</v>
      </c>
      <c r="D448" s="13" t="str">
        <f aca="false">'Match Results'!G113</f>
        <v>Matthias</v>
      </c>
      <c r="E448" s="13" t="str">
        <f aca="false">IF('Match Results'!F113&gt;'Match Results'!E113,"Win",IF('Match Results'!E113='Match Results'!F113,"Draw","Loss"))</f>
        <v>Loss</v>
      </c>
      <c r="F448" s="13" t="n">
        <f aca="false">IF(E448="Win",3,IF(E448="Draw",2,1))</f>
        <v>1</v>
      </c>
    </row>
    <row r="449" customFormat="false" ht="14.25" hidden="false" customHeight="false" outlineLevel="0" collapsed="false">
      <c r="A449" s="13" t="n">
        <f aca="false">'Match Results'!A113</f>
        <v>45967</v>
      </c>
      <c r="B449" s="13" t="n">
        <f aca="false">'Match Results'!B449</f>
        <v>0</v>
      </c>
      <c r="C449" s="13" t="n">
        <f aca="false">C445+1</f>
        <v>113</v>
      </c>
      <c r="D449" s="13" t="str">
        <f aca="false">'Match Results'!H113</f>
        <v>Ahmad DD </v>
      </c>
      <c r="E449" s="13" t="str">
        <f aca="false">IF('Match Results'!F113&gt;'Match Results'!E113,"Win",IF('Match Results'!E113='Match Results'!F113,"Draw","Loss"))</f>
        <v>Loss</v>
      </c>
      <c r="F449" s="13" t="n">
        <f aca="false">IF(E449="Win",3,IF(E449="Draw",2,1))</f>
        <v>1</v>
      </c>
    </row>
    <row r="450" customFormat="false" ht="14.25" hidden="false" customHeight="false" outlineLevel="0" collapsed="false">
      <c r="A450" s="13" t="n">
        <f aca="false">'Match Results'!A114</f>
        <v>45967</v>
      </c>
      <c r="B450" s="13" t="n">
        <f aca="false">'Match Results'!B450</f>
        <v>0</v>
      </c>
      <c r="C450" s="13" t="n">
        <f aca="false">C446+1</f>
        <v>114</v>
      </c>
      <c r="D450" s="13" t="str">
        <f aca="false">'Match Results'!C114</f>
        <v>Bruno</v>
      </c>
      <c r="E450" s="13" t="str">
        <f aca="false">IF('Match Results'!E114&gt;'Match Results'!F114,"Win",IF('Match Results'!E114='Match Results'!F114,"Draw","Loss"))</f>
        <v>Win</v>
      </c>
      <c r="F450" s="13" t="n">
        <f aca="false">IF(E450="Win",3,IF(E450="Draw",2,1))</f>
        <v>3</v>
      </c>
    </row>
    <row r="451" customFormat="false" ht="14.25" hidden="false" customHeight="false" outlineLevel="0" collapsed="false">
      <c r="A451" s="13" t="n">
        <f aca="false">'Match Results'!A114</f>
        <v>45967</v>
      </c>
      <c r="B451" s="13" t="n">
        <f aca="false">'Match Results'!B451</f>
        <v>0</v>
      </c>
      <c r="C451" s="13" t="n">
        <f aca="false">C447+1</f>
        <v>114</v>
      </c>
      <c r="D451" s="13" t="str">
        <f aca="false">'Match Results'!D114</f>
        <v>Natella </v>
      </c>
      <c r="E451" s="13" t="str">
        <f aca="false">IF('Match Results'!E114&gt;'Match Results'!F114,"Win",IF('Match Results'!E114='Match Results'!F114,"Draw","Loss"))</f>
        <v>Win</v>
      </c>
      <c r="F451" s="13" t="n">
        <f aca="false">IF(E451="Win",3,IF(E451="Draw",2,1))</f>
        <v>3</v>
      </c>
    </row>
    <row r="452" customFormat="false" ht="14.25" hidden="false" customHeight="false" outlineLevel="0" collapsed="false">
      <c r="A452" s="13" t="n">
        <f aca="false">'Match Results'!A114</f>
        <v>45967</v>
      </c>
      <c r="B452" s="13" t="n">
        <f aca="false">'Match Results'!B452</f>
        <v>0</v>
      </c>
      <c r="C452" s="13" t="n">
        <f aca="false">C448+1</f>
        <v>114</v>
      </c>
      <c r="D452" s="13" t="str">
        <f aca="false">'Match Results'!G114</f>
        <v>Amit</v>
      </c>
      <c r="E452" s="13" t="str">
        <f aca="false">IF('Match Results'!F114&gt;'Match Results'!E114,"Win",IF('Match Results'!E114='Match Results'!F114,"Draw","Loss"))</f>
        <v>Loss</v>
      </c>
      <c r="F452" s="13" t="n">
        <f aca="false">IF(E452="Win",3,IF(E452="Draw",2,1))</f>
        <v>1</v>
      </c>
    </row>
    <row r="453" customFormat="false" ht="14.25" hidden="false" customHeight="false" outlineLevel="0" collapsed="false">
      <c r="A453" s="13" t="n">
        <f aca="false">'Match Results'!A114</f>
        <v>45967</v>
      </c>
      <c r="B453" s="13" t="n">
        <f aca="false">'Match Results'!B453</f>
        <v>0</v>
      </c>
      <c r="C453" s="13" t="n">
        <f aca="false">C449+1</f>
        <v>114</v>
      </c>
      <c r="D453" s="13" t="str">
        <f aca="false">'Match Results'!H114</f>
        <v>Sharuk</v>
      </c>
      <c r="E453" s="13" t="str">
        <f aca="false">IF('Match Results'!F114&gt;'Match Results'!E114,"Win",IF('Match Results'!E114='Match Results'!F114,"Draw","Loss"))</f>
        <v>Loss</v>
      </c>
      <c r="F453" s="13" t="n">
        <f aca="false">IF(E453="Win",3,IF(E453="Draw",2,1))</f>
        <v>1</v>
      </c>
    </row>
    <row r="454" customFormat="false" ht="14.25" hidden="false" customHeight="false" outlineLevel="0" collapsed="false">
      <c r="A454" s="13" t="n">
        <f aca="false">'Match Results'!A115</f>
        <v>45967</v>
      </c>
      <c r="B454" s="13" t="n">
        <f aca="false">'Match Results'!B454</f>
        <v>0</v>
      </c>
      <c r="C454" s="13" t="n">
        <f aca="false">C450+1</f>
        <v>115</v>
      </c>
      <c r="D454" s="13" t="str">
        <f aca="false">'Match Results'!C115</f>
        <v>Renato</v>
      </c>
      <c r="E454" s="13" t="str">
        <f aca="false">IF('Match Results'!E115&gt;'Match Results'!F115,"Win",IF('Match Results'!E115='Match Results'!F115,"Draw","Loss"))</f>
        <v>Win</v>
      </c>
      <c r="F454" s="13" t="n">
        <f aca="false">IF(E454="Win",3,IF(E454="Draw",2,1))</f>
        <v>3</v>
      </c>
    </row>
    <row r="455" customFormat="false" ht="14.25" hidden="false" customHeight="false" outlineLevel="0" collapsed="false">
      <c r="A455" s="13" t="n">
        <f aca="false">'Match Results'!A115</f>
        <v>45967</v>
      </c>
      <c r="B455" s="13" t="n">
        <f aca="false">'Match Results'!B455</f>
        <v>0</v>
      </c>
      <c r="C455" s="13" t="n">
        <f aca="false">C451+1</f>
        <v>115</v>
      </c>
      <c r="D455" s="13" t="str">
        <f aca="false">'Match Results'!D115</f>
        <v>Andreas</v>
      </c>
      <c r="E455" s="13" t="str">
        <f aca="false">IF('Match Results'!E115&gt;'Match Results'!F115,"Win",IF('Match Results'!E115='Match Results'!F115,"Draw","Loss"))</f>
        <v>Win</v>
      </c>
      <c r="F455" s="13" t="n">
        <f aca="false">IF(E455="Win",3,IF(E455="Draw",2,1))</f>
        <v>3</v>
      </c>
    </row>
    <row r="456" customFormat="false" ht="14.25" hidden="false" customHeight="false" outlineLevel="0" collapsed="false">
      <c r="A456" s="13" t="n">
        <f aca="false">'Match Results'!A115</f>
        <v>45967</v>
      </c>
      <c r="B456" s="13" t="n">
        <f aca="false">'Match Results'!B456</f>
        <v>0</v>
      </c>
      <c r="C456" s="13" t="n">
        <f aca="false">C452+1</f>
        <v>115</v>
      </c>
      <c r="D456" s="13" t="str">
        <f aca="false">'Match Results'!G115</f>
        <v>Iuliana</v>
      </c>
      <c r="E456" s="13" t="str">
        <f aca="false">IF('Match Results'!F115&gt;'Match Results'!E115,"Win",IF('Match Results'!E115='Match Results'!F115,"Draw","Loss"))</f>
        <v>Loss</v>
      </c>
      <c r="F456" s="13" t="n">
        <f aca="false">IF(E456="Win",3,IF(E456="Draw",2,1))</f>
        <v>1</v>
      </c>
    </row>
    <row r="457" customFormat="false" ht="14.25" hidden="false" customHeight="false" outlineLevel="0" collapsed="false">
      <c r="A457" s="13" t="n">
        <f aca="false">'Match Results'!A115</f>
        <v>45967</v>
      </c>
      <c r="B457" s="13" t="n">
        <f aca="false">'Match Results'!B457</f>
        <v>0</v>
      </c>
      <c r="C457" s="13" t="n">
        <f aca="false">C453+1</f>
        <v>115</v>
      </c>
      <c r="D457" s="13" t="str">
        <f aca="false">'Match Results'!H115</f>
        <v>Joel</v>
      </c>
      <c r="E457" s="13" t="str">
        <f aca="false">IF('Match Results'!F115&gt;'Match Results'!E115,"Win",IF('Match Results'!E115='Match Results'!F115,"Draw","Loss"))</f>
        <v>Loss</v>
      </c>
      <c r="F457" s="13" t="n">
        <f aca="false">IF(E457="Win",3,IF(E457="Draw",2,1))</f>
        <v>1</v>
      </c>
    </row>
    <row r="458" customFormat="false" ht="14.25" hidden="false" customHeight="false" outlineLevel="0" collapsed="false">
      <c r="A458" s="13" t="n">
        <f aca="false">'Match Results'!A116</f>
        <v>45967</v>
      </c>
      <c r="B458" s="13" t="n">
        <f aca="false">'Match Results'!B458</f>
        <v>0</v>
      </c>
      <c r="C458" s="13" t="n">
        <f aca="false">C454+1</f>
        <v>116</v>
      </c>
      <c r="D458" s="13" t="str">
        <f aca="false">'Match Results'!C116</f>
        <v>Amit</v>
      </c>
      <c r="E458" s="13" t="str">
        <f aca="false">IF('Match Results'!E116&gt;'Match Results'!F116,"Win",IF('Match Results'!E116='Match Results'!F116,"Draw","Loss"))</f>
        <v>Win</v>
      </c>
      <c r="F458" s="13" t="n">
        <f aca="false">IF(E458="Win",3,IF(E458="Draw",2,1))</f>
        <v>3</v>
      </c>
    </row>
    <row r="459" customFormat="false" ht="14.25" hidden="false" customHeight="false" outlineLevel="0" collapsed="false">
      <c r="A459" s="13" t="n">
        <f aca="false">'Match Results'!A116</f>
        <v>45967</v>
      </c>
      <c r="B459" s="13" t="n">
        <f aca="false">'Match Results'!B459</f>
        <v>0</v>
      </c>
      <c r="C459" s="13" t="n">
        <f aca="false">C455+1</f>
        <v>116</v>
      </c>
      <c r="D459" s="13" t="str">
        <f aca="false">'Match Results'!D116</f>
        <v>Sergio </v>
      </c>
      <c r="E459" s="13" t="str">
        <f aca="false">IF('Match Results'!E116&gt;'Match Results'!F116,"Win",IF('Match Results'!E116='Match Results'!F116,"Draw","Loss"))</f>
        <v>Win</v>
      </c>
      <c r="F459" s="13" t="n">
        <f aca="false">IF(E459="Win",3,IF(E459="Draw",2,1))</f>
        <v>3</v>
      </c>
    </row>
    <row r="460" customFormat="false" ht="14.25" hidden="false" customHeight="false" outlineLevel="0" collapsed="false">
      <c r="A460" s="13" t="n">
        <f aca="false">'Match Results'!A116</f>
        <v>45967</v>
      </c>
      <c r="B460" s="13" t="n">
        <f aca="false">'Match Results'!B460</f>
        <v>0</v>
      </c>
      <c r="C460" s="13" t="n">
        <f aca="false">C456+1</f>
        <v>116</v>
      </c>
      <c r="D460" s="13" t="str">
        <f aca="false">'Match Results'!G116</f>
        <v>Sharuk</v>
      </c>
      <c r="E460" s="13" t="str">
        <f aca="false">IF('Match Results'!F116&gt;'Match Results'!E116,"Win",IF('Match Results'!E116='Match Results'!F116,"Draw","Loss"))</f>
        <v>Loss</v>
      </c>
      <c r="F460" s="13" t="n">
        <f aca="false">IF(E460="Win",3,IF(E460="Draw",2,1))</f>
        <v>1</v>
      </c>
    </row>
    <row r="461" customFormat="false" ht="14.25" hidden="false" customHeight="false" outlineLevel="0" collapsed="false">
      <c r="A461" s="13" t="n">
        <f aca="false">'Match Results'!A116</f>
        <v>45967</v>
      </c>
      <c r="B461" s="13" t="n">
        <f aca="false">'Match Results'!B461</f>
        <v>0</v>
      </c>
      <c r="C461" s="13" t="n">
        <f aca="false">C457+1</f>
        <v>116</v>
      </c>
      <c r="D461" s="13" t="str">
        <f aca="false">'Match Results'!H116</f>
        <v>Matthias</v>
      </c>
      <c r="E461" s="13" t="str">
        <f aca="false">IF('Match Results'!F116&gt;'Match Results'!E116,"Win",IF('Match Results'!E116='Match Results'!F116,"Draw","Loss"))</f>
        <v>Loss</v>
      </c>
      <c r="F461" s="13" t="n">
        <f aca="false">IF(E461="Win",3,IF(E461="Draw",2,1))</f>
        <v>1</v>
      </c>
    </row>
    <row r="462" customFormat="false" ht="14.25" hidden="false" customHeight="false" outlineLevel="0" collapsed="false">
      <c r="A462" s="13" t="n">
        <f aca="false">'Match Results'!A117</f>
        <v>45967</v>
      </c>
      <c r="B462" s="13" t="n">
        <f aca="false">'Match Results'!B462</f>
        <v>0</v>
      </c>
      <c r="C462" s="13" t="n">
        <f aca="false">C458+1</f>
        <v>117</v>
      </c>
      <c r="D462" s="13" t="str">
        <f aca="false">'Match Results'!C117</f>
        <v>Natella </v>
      </c>
      <c r="E462" s="13" t="str">
        <f aca="false">IF('Match Results'!E117&gt;'Match Results'!F117,"Win",IF('Match Results'!E117='Match Results'!F117,"Draw","Loss"))</f>
        <v>Win</v>
      </c>
      <c r="F462" s="13" t="n">
        <f aca="false">IF(E462="Win",3,IF(E462="Draw",2,1))</f>
        <v>3</v>
      </c>
    </row>
    <row r="463" customFormat="false" ht="14.25" hidden="false" customHeight="false" outlineLevel="0" collapsed="false">
      <c r="A463" s="13" t="n">
        <f aca="false">'Match Results'!A117</f>
        <v>45967</v>
      </c>
      <c r="B463" s="13" t="n">
        <f aca="false">'Match Results'!B463</f>
        <v>0</v>
      </c>
      <c r="C463" s="13" t="n">
        <f aca="false">C459+1</f>
        <v>117</v>
      </c>
      <c r="D463" s="13" t="str">
        <f aca="false">'Match Results'!D117</f>
        <v>Joel</v>
      </c>
      <c r="E463" s="13" t="str">
        <f aca="false">IF('Match Results'!E117&gt;'Match Results'!F117,"Win",IF('Match Results'!E117='Match Results'!F117,"Draw","Loss"))</f>
        <v>Win</v>
      </c>
      <c r="F463" s="13" t="n">
        <f aca="false">IF(E463="Win",3,IF(E463="Draw",2,1))</f>
        <v>3</v>
      </c>
    </row>
    <row r="464" customFormat="false" ht="14.25" hidden="false" customHeight="false" outlineLevel="0" collapsed="false">
      <c r="A464" s="13" t="n">
        <f aca="false">'Match Results'!A117</f>
        <v>45967</v>
      </c>
      <c r="B464" s="13" t="n">
        <f aca="false">'Match Results'!B464</f>
        <v>0</v>
      </c>
      <c r="C464" s="13" t="n">
        <f aca="false">C460+1</f>
        <v>117</v>
      </c>
      <c r="D464" s="13" t="str">
        <f aca="false">'Match Results'!G117</f>
        <v>Iuliana</v>
      </c>
      <c r="E464" s="13" t="str">
        <f aca="false">IF('Match Results'!F117&gt;'Match Results'!E117,"Win",IF('Match Results'!E117='Match Results'!F117,"Draw","Loss"))</f>
        <v>Loss</v>
      </c>
      <c r="F464" s="13" t="n">
        <f aca="false">IF(E464="Win",3,IF(E464="Draw",2,1))</f>
        <v>1</v>
      </c>
    </row>
    <row r="465" customFormat="false" ht="14.25" hidden="false" customHeight="false" outlineLevel="0" collapsed="false">
      <c r="A465" s="13" t="n">
        <f aca="false">'Match Results'!A117</f>
        <v>45967</v>
      </c>
      <c r="B465" s="13" t="n">
        <f aca="false">'Match Results'!B465</f>
        <v>0</v>
      </c>
      <c r="C465" s="13" t="n">
        <f aca="false">C461+1</f>
        <v>117</v>
      </c>
      <c r="D465" s="13" t="str">
        <f aca="false">'Match Results'!H117</f>
        <v>Andreas</v>
      </c>
      <c r="E465" s="13" t="str">
        <f aca="false">IF('Match Results'!F117&gt;'Match Results'!E117,"Win",IF('Match Results'!E117='Match Results'!F117,"Draw","Loss"))</f>
        <v>Loss</v>
      </c>
      <c r="F465" s="13" t="n">
        <f aca="false">IF(E465="Win",3,IF(E465="Draw",2,1))</f>
        <v>1</v>
      </c>
    </row>
    <row r="466" customFormat="false" ht="14.25" hidden="false" customHeight="false" outlineLevel="0" collapsed="false">
      <c r="A466" s="13" t="n">
        <f aca="false">'Match Results'!A118</f>
        <v>45967</v>
      </c>
      <c r="B466" s="13" t="n">
        <f aca="false">'Match Results'!B466</f>
        <v>0</v>
      </c>
      <c r="C466" s="13" t="n">
        <f aca="false">C462+1</f>
        <v>118</v>
      </c>
      <c r="D466" s="13" t="n">
        <f aca="false">'Match Results'!C118</f>
        <v>0</v>
      </c>
      <c r="E466" s="13" t="str">
        <f aca="false">IF('Match Results'!F153&gt;'Match Results'!E153,"Win",IF('Match Results'!E152='Match Results'!F152,"Draw","Loss"))</f>
        <v>Draw</v>
      </c>
      <c r="F466" s="13" t="n">
        <f aca="false">IF(E466="Win",3,IF(E466="Draw",2,1))</f>
        <v>2</v>
      </c>
    </row>
    <row r="467" customFormat="false" ht="14.25" hidden="false" customHeight="false" outlineLevel="0" collapsed="false">
      <c r="A467" s="13" t="n">
        <f aca="false">'Match Results'!A118</f>
        <v>45967</v>
      </c>
      <c r="B467" s="13" t="n">
        <f aca="false">'Match Results'!B467</f>
        <v>0</v>
      </c>
      <c r="C467" s="13" t="n">
        <f aca="false">C463+1</f>
        <v>118</v>
      </c>
      <c r="D467" s="13" t="n">
        <f aca="false">'Match Results'!D118</f>
        <v>0</v>
      </c>
      <c r="E467" s="13" t="str">
        <f aca="false">IF('Match Results'!F154&gt;'Match Results'!E154,"Win",IF('Match Results'!E153='Match Results'!F153,"Draw","Loss"))</f>
        <v>Draw</v>
      </c>
      <c r="F467" s="13" t="n">
        <f aca="false">IF(E467="Win",3,IF(E467="Draw",2,1))</f>
        <v>2</v>
      </c>
    </row>
    <row r="468" customFormat="false" ht="14.25" hidden="false" customHeight="false" outlineLevel="0" collapsed="false">
      <c r="A468" s="13" t="n">
        <f aca="false">'Match Results'!A118</f>
        <v>45967</v>
      </c>
      <c r="B468" s="13" t="n">
        <f aca="false">'Match Results'!B468</f>
        <v>0</v>
      </c>
      <c r="C468" s="13" t="n">
        <f aca="false">C464+1</f>
        <v>118</v>
      </c>
      <c r="D468" s="13" t="n">
        <f aca="false">'Match Results'!G118</f>
        <v>0</v>
      </c>
      <c r="E468" s="13" t="str">
        <f aca="false">IF('Match Results'!F155&gt;'Match Results'!E155,"Win",IF('Match Results'!E154='Match Results'!F154,"Draw","Loss"))</f>
        <v>Draw</v>
      </c>
      <c r="F468" s="13" t="n">
        <f aca="false">IF(E468="Win",3,IF(E468="Draw",2,1))</f>
        <v>2</v>
      </c>
    </row>
    <row r="469" customFormat="false" ht="14.25" hidden="false" customHeight="false" outlineLevel="0" collapsed="false">
      <c r="A469" s="13" t="n">
        <f aca="false">'Match Results'!A118</f>
        <v>45967</v>
      </c>
      <c r="B469" s="13" t="n">
        <f aca="false">'Match Results'!B469</f>
        <v>0</v>
      </c>
      <c r="C469" s="13" t="n">
        <f aca="false">C465+1</f>
        <v>118</v>
      </c>
      <c r="D469" s="13" t="n">
        <f aca="false">'Match Results'!H118</f>
        <v>0</v>
      </c>
      <c r="E469" s="13" t="str">
        <f aca="false">IF('Match Results'!F156&gt;'Match Results'!E156,"Win",IF('Match Results'!E155='Match Results'!F155,"Draw","Loss"))</f>
        <v>Draw</v>
      </c>
      <c r="F469" s="13" t="n">
        <f aca="false">IF(E469="Win",3,IF(E469="Draw",2,1))</f>
        <v>2</v>
      </c>
    </row>
    <row r="470" customFormat="false" ht="14.25" hidden="false" customHeight="false" outlineLevel="0" collapsed="false">
      <c r="A470" s="13" t="n">
        <f aca="false">'Match Results'!A119</f>
        <v>45967</v>
      </c>
      <c r="B470" s="13" t="n">
        <f aca="false">'Match Results'!B470</f>
        <v>0</v>
      </c>
      <c r="C470" s="13" t="n">
        <f aca="false">C466+1</f>
        <v>119</v>
      </c>
      <c r="D470" s="13" t="n">
        <f aca="false">'Match Results'!C119</f>
        <v>0</v>
      </c>
      <c r="E470" s="13" t="str">
        <f aca="false">IF('Match Results'!F157&gt;'Match Results'!E157,"Win",IF('Match Results'!E156='Match Results'!F156,"Draw","Loss"))</f>
        <v>Draw</v>
      </c>
      <c r="F470" s="13" t="n">
        <f aca="false">IF(E470="Win",3,IF(E470="Draw",2,1))</f>
        <v>2</v>
      </c>
    </row>
    <row r="471" customFormat="false" ht="14.25" hidden="false" customHeight="false" outlineLevel="0" collapsed="false">
      <c r="A471" s="13" t="n">
        <f aca="false">'Match Results'!A119</f>
        <v>45967</v>
      </c>
      <c r="B471" s="13" t="n">
        <f aca="false">'Match Results'!B471</f>
        <v>0</v>
      </c>
      <c r="C471" s="13" t="n">
        <f aca="false">C467+1</f>
        <v>119</v>
      </c>
      <c r="D471" s="13" t="n">
        <f aca="false">'Match Results'!D119</f>
        <v>0</v>
      </c>
      <c r="E471" s="13" t="str">
        <f aca="false">IF('Match Results'!F158&gt;'Match Results'!E158,"Win",IF('Match Results'!E157='Match Results'!F157,"Draw","Loss"))</f>
        <v>Draw</v>
      </c>
      <c r="F471" s="13" t="n">
        <f aca="false">IF(E471="Win",3,IF(E471="Draw",2,1))</f>
        <v>2</v>
      </c>
    </row>
    <row r="472" customFormat="false" ht="14.25" hidden="false" customHeight="false" outlineLevel="0" collapsed="false">
      <c r="A472" s="13" t="n">
        <f aca="false">'Match Results'!A119</f>
        <v>45967</v>
      </c>
      <c r="B472" s="13" t="n">
        <f aca="false">'Match Results'!B472</f>
        <v>0</v>
      </c>
      <c r="C472" s="13" t="n">
        <f aca="false">C468+1</f>
        <v>119</v>
      </c>
      <c r="D472" s="13" t="n">
        <f aca="false">'Match Results'!G119</f>
        <v>0</v>
      </c>
      <c r="E472" s="13" t="str">
        <f aca="false">IF('Match Results'!F159&gt;'Match Results'!E159,"Win",IF('Match Results'!E158='Match Results'!F158,"Draw","Loss"))</f>
        <v>Draw</v>
      </c>
      <c r="F472" s="13" t="n">
        <f aca="false">IF(E472="Win",3,IF(E472="Draw",2,1))</f>
        <v>2</v>
      </c>
    </row>
    <row r="473" customFormat="false" ht="14.25" hidden="false" customHeight="false" outlineLevel="0" collapsed="false">
      <c r="A473" s="13" t="n">
        <f aca="false">'Match Results'!A119</f>
        <v>45967</v>
      </c>
      <c r="B473" s="13" t="n">
        <f aca="false">'Match Results'!B473</f>
        <v>0</v>
      </c>
      <c r="C473" s="13" t="n">
        <f aca="false">C469+1</f>
        <v>119</v>
      </c>
      <c r="D473" s="13" t="n">
        <f aca="false">'Match Results'!H119</f>
        <v>0</v>
      </c>
      <c r="E473" s="13" t="str">
        <f aca="false">IF('Match Results'!F160&gt;'Match Results'!E160,"Win",IF('Match Results'!E159='Match Results'!F159,"Draw","Loss"))</f>
        <v>Draw</v>
      </c>
      <c r="F473" s="13" t="n">
        <f aca="false">IF(E473="Win",3,IF(E473="Draw",2,1))</f>
        <v>2</v>
      </c>
    </row>
    <row r="474" customFormat="false" ht="14.25" hidden="false" customHeight="false" outlineLevel="0" collapsed="false">
      <c r="A474" s="13" t="n">
        <f aca="false">'Match Results'!A120</f>
        <v>45967</v>
      </c>
      <c r="B474" s="13" t="n">
        <f aca="false">'Match Results'!B474</f>
        <v>0</v>
      </c>
      <c r="C474" s="13" t="n">
        <f aca="false">C470+1</f>
        <v>120</v>
      </c>
      <c r="D474" s="13" t="n">
        <f aca="false">'Match Results'!C120</f>
        <v>0</v>
      </c>
      <c r="E474" s="13" t="str">
        <f aca="false">IF('Match Results'!F161&gt;'Match Results'!E161,"Win",IF('Match Results'!E160='Match Results'!F160,"Draw","Loss"))</f>
        <v>Draw</v>
      </c>
      <c r="F474" s="13" t="n">
        <f aca="false">IF(E474="Win",3,IF(E474="Draw",2,1))</f>
        <v>2</v>
      </c>
    </row>
    <row r="475" customFormat="false" ht="14.25" hidden="false" customHeight="false" outlineLevel="0" collapsed="false">
      <c r="A475" s="13" t="n">
        <f aca="false">'Match Results'!A120</f>
        <v>45967</v>
      </c>
      <c r="B475" s="13" t="n">
        <f aca="false">'Match Results'!B475</f>
        <v>0</v>
      </c>
      <c r="C475" s="13" t="n">
        <f aca="false">C471+1</f>
        <v>120</v>
      </c>
      <c r="D475" s="13" t="n">
        <f aca="false">'Match Results'!D120</f>
        <v>0</v>
      </c>
      <c r="E475" s="13" t="str">
        <f aca="false">IF('Match Results'!F162&gt;'Match Results'!E162,"Win",IF('Match Results'!E161='Match Results'!F161,"Draw","Loss"))</f>
        <v>Draw</v>
      </c>
      <c r="F475" s="13" t="n">
        <f aca="false">IF(E475="Win",3,IF(E475="Draw",2,1))</f>
        <v>2</v>
      </c>
    </row>
    <row r="476" customFormat="false" ht="14.25" hidden="false" customHeight="false" outlineLevel="0" collapsed="false">
      <c r="A476" s="13" t="n">
        <f aca="false">'Match Results'!A120</f>
        <v>45967</v>
      </c>
      <c r="B476" s="13" t="n">
        <f aca="false">'Match Results'!B476</f>
        <v>0</v>
      </c>
      <c r="C476" s="13" t="n">
        <f aca="false">C472+1</f>
        <v>120</v>
      </c>
      <c r="D476" s="13" t="n">
        <f aca="false">'Match Results'!G120</f>
        <v>0</v>
      </c>
      <c r="E476" s="13" t="str">
        <f aca="false">IF('Match Results'!F163&gt;'Match Results'!E163,"Win",IF('Match Results'!E162='Match Results'!F162,"Draw","Loss"))</f>
        <v>Draw</v>
      </c>
      <c r="F476" s="13" t="n">
        <f aca="false">IF(E476="Win",3,IF(E476="Draw",2,1))</f>
        <v>2</v>
      </c>
    </row>
    <row r="477" customFormat="false" ht="14.25" hidden="false" customHeight="false" outlineLevel="0" collapsed="false">
      <c r="A477" s="13" t="n">
        <f aca="false">'Match Results'!A120</f>
        <v>45967</v>
      </c>
      <c r="B477" s="13" t="n">
        <f aca="false">'Match Results'!B477</f>
        <v>0</v>
      </c>
      <c r="C477" s="13" t="n">
        <f aca="false">C473+1</f>
        <v>120</v>
      </c>
      <c r="D477" s="13" t="n">
        <f aca="false">'Match Results'!H120</f>
        <v>0</v>
      </c>
      <c r="E477" s="13" t="str">
        <f aca="false">IF('Match Results'!F164&gt;'Match Results'!E164,"Win",IF('Match Results'!E163='Match Results'!F163,"Draw","Loss"))</f>
        <v>Draw</v>
      </c>
      <c r="F477" s="13" t="n">
        <f aca="false">IF(E477="Win",3,IF(E477="Draw",2,1))</f>
        <v>2</v>
      </c>
    </row>
    <row r="478" customFormat="false" ht="14.25" hidden="false" customHeight="false" outlineLevel="0" collapsed="false">
      <c r="A478" s="13" t="n">
        <f aca="false">'Match Results'!A121</f>
        <v>45967</v>
      </c>
      <c r="B478" s="13" t="n">
        <f aca="false">'Match Results'!B478</f>
        <v>0</v>
      </c>
      <c r="C478" s="13" t="n">
        <f aca="false">C474+1</f>
        <v>121</v>
      </c>
      <c r="D478" s="13" t="n">
        <f aca="false">'Match Results'!C121</f>
        <v>0</v>
      </c>
      <c r="E478" s="13" t="str">
        <f aca="false">IF('Match Results'!F165&gt;'Match Results'!E165,"Win",IF('Match Results'!E164='Match Results'!F164,"Draw","Loss"))</f>
        <v>Draw</v>
      </c>
      <c r="F478" s="13" t="n">
        <f aca="false">IF(E478="Win",3,IF(E478="Draw",2,1))</f>
        <v>2</v>
      </c>
    </row>
    <row r="479" customFormat="false" ht="14.25" hidden="false" customHeight="false" outlineLevel="0" collapsed="false">
      <c r="A479" s="13" t="n">
        <f aca="false">'Match Results'!A121</f>
        <v>45967</v>
      </c>
      <c r="B479" s="13" t="n">
        <f aca="false">'Match Results'!B479</f>
        <v>0</v>
      </c>
      <c r="C479" s="13" t="n">
        <f aca="false">C475+1</f>
        <v>121</v>
      </c>
      <c r="D479" s="13" t="n">
        <f aca="false">'Match Results'!D121</f>
        <v>0</v>
      </c>
      <c r="E479" s="13" t="str">
        <f aca="false">IF('Match Results'!F166&gt;'Match Results'!E166,"Win",IF('Match Results'!E165='Match Results'!F165,"Draw","Loss"))</f>
        <v>Draw</v>
      </c>
      <c r="F479" s="13" t="n">
        <f aca="false">IF(E479="Win",3,IF(E479="Draw",2,1))</f>
        <v>2</v>
      </c>
    </row>
    <row r="480" customFormat="false" ht="14.25" hidden="false" customHeight="false" outlineLevel="0" collapsed="false">
      <c r="A480" s="13" t="n">
        <f aca="false">'Match Results'!A121</f>
        <v>45967</v>
      </c>
      <c r="B480" s="13" t="n">
        <f aca="false">'Match Results'!B480</f>
        <v>0</v>
      </c>
      <c r="C480" s="13" t="n">
        <f aca="false">C476+1</f>
        <v>121</v>
      </c>
      <c r="D480" s="13" t="n">
        <f aca="false">'Match Results'!G121</f>
        <v>0</v>
      </c>
      <c r="E480" s="13" t="str">
        <f aca="false">IF('Match Results'!F167&gt;'Match Results'!E167,"Win",IF('Match Results'!E166='Match Results'!F166,"Draw","Loss"))</f>
        <v>Draw</v>
      </c>
      <c r="F480" s="13" t="n">
        <f aca="false">IF(E480="Win",3,IF(E480="Draw",2,1))</f>
        <v>2</v>
      </c>
    </row>
    <row r="481" customFormat="false" ht="14.25" hidden="false" customHeight="false" outlineLevel="0" collapsed="false">
      <c r="A481" s="13" t="n">
        <f aca="false">'Match Results'!A121</f>
        <v>45967</v>
      </c>
      <c r="B481" s="13" t="n">
        <f aca="false">'Match Results'!B481</f>
        <v>0</v>
      </c>
      <c r="C481" s="13" t="n">
        <f aca="false">C477+1</f>
        <v>121</v>
      </c>
      <c r="D481" s="13" t="n">
        <f aca="false">'Match Results'!H121</f>
        <v>0</v>
      </c>
      <c r="E481" s="13" t="str">
        <f aca="false">IF('Match Results'!F168&gt;'Match Results'!E168,"Win",IF('Match Results'!E167='Match Results'!F167,"Draw","Loss"))</f>
        <v>Draw</v>
      </c>
      <c r="F481" s="13" t="n">
        <f aca="false">IF(E481="Win",3,IF(E481="Draw",2,1))</f>
        <v>2</v>
      </c>
    </row>
    <row r="482" customFormat="false" ht="14.25" hidden="false" customHeight="false" outlineLevel="0" collapsed="false">
      <c r="A482" s="13" t="n">
        <f aca="false">'Match Results'!A122</f>
        <v>45960</v>
      </c>
      <c r="B482" s="13" t="n">
        <f aca="false">'Match Results'!B482</f>
        <v>0</v>
      </c>
      <c r="C482" s="13" t="n">
        <f aca="false">C478+1</f>
        <v>122</v>
      </c>
      <c r="D482" s="13" t="n">
        <f aca="false">'Match Results'!C122</f>
        <v>0</v>
      </c>
      <c r="E482" s="13" t="str">
        <f aca="false">IF('Match Results'!F169&gt;'Match Results'!E169,"Win",IF('Match Results'!E168='Match Results'!F168,"Draw","Loss"))</f>
        <v>Draw</v>
      </c>
      <c r="F482" s="13" t="n">
        <f aca="false">IF(E482="Win",3,IF(E482="Draw",2,1))</f>
        <v>2</v>
      </c>
    </row>
    <row r="483" customFormat="false" ht="14.25" hidden="false" customHeight="false" outlineLevel="0" collapsed="false">
      <c r="A483" s="13" t="n">
        <f aca="false">'Match Results'!A122</f>
        <v>45960</v>
      </c>
      <c r="B483" s="13" t="n">
        <f aca="false">'Match Results'!B483</f>
        <v>0</v>
      </c>
      <c r="C483" s="13" t="n">
        <f aca="false">C479+1</f>
        <v>122</v>
      </c>
      <c r="D483" s="13" t="n">
        <f aca="false">'Match Results'!D122</f>
        <v>0</v>
      </c>
      <c r="E483" s="13" t="str">
        <f aca="false">IF('Match Results'!F170&gt;'Match Results'!E170,"Win",IF('Match Results'!E169='Match Results'!F169,"Draw","Loss"))</f>
        <v>Draw</v>
      </c>
      <c r="F483" s="13" t="n">
        <f aca="false">IF(E483="Win",3,IF(E483="Draw",2,1))</f>
        <v>2</v>
      </c>
    </row>
    <row r="484" customFormat="false" ht="14.25" hidden="false" customHeight="false" outlineLevel="0" collapsed="false">
      <c r="A484" s="13" t="n">
        <f aca="false">'Match Results'!A122</f>
        <v>45960</v>
      </c>
      <c r="B484" s="13" t="n">
        <f aca="false">'Match Results'!B484</f>
        <v>0</v>
      </c>
      <c r="C484" s="13" t="n">
        <f aca="false">C480+1</f>
        <v>122</v>
      </c>
      <c r="D484" s="13" t="n">
        <f aca="false">'Match Results'!G122</f>
        <v>0</v>
      </c>
      <c r="E484" s="13" t="str">
        <f aca="false">IF('Match Results'!F171&gt;'Match Results'!E171,"Win",IF('Match Results'!E170='Match Results'!F170,"Draw","Loss"))</f>
        <v>Draw</v>
      </c>
      <c r="F484" s="13" t="n">
        <f aca="false">IF(E484="Win",3,IF(E484="Draw",2,1))</f>
        <v>2</v>
      </c>
    </row>
    <row r="485" customFormat="false" ht="14.25" hidden="false" customHeight="false" outlineLevel="0" collapsed="false">
      <c r="A485" s="13" t="n">
        <f aca="false">'Match Results'!A122</f>
        <v>45960</v>
      </c>
      <c r="B485" s="13" t="n">
        <f aca="false">'Match Results'!B485</f>
        <v>0</v>
      </c>
      <c r="C485" s="13" t="n">
        <f aca="false">C481+1</f>
        <v>122</v>
      </c>
      <c r="D485" s="13" t="n">
        <f aca="false">'Match Results'!H122</f>
        <v>0</v>
      </c>
      <c r="E485" s="13" t="str">
        <f aca="false">IF('Match Results'!F172&gt;'Match Results'!E172,"Win",IF('Match Results'!E171='Match Results'!F171,"Draw","Loss"))</f>
        <v>Draw</v>
      </c>
      <c r="F485" s="13" t="n">
        <f aca="false">IF(E485="Win",3,IF(E485="Draw",2,1))</f>
        <v>2</v>
      </c>
    </row>
    <row r="486" customFormat="false" ht="14.25" hidden="false" customHeight="false" outlineLevel="0" collapsed="false">
      <c r="A486" s="13" t="n">
        <f aca="false">'Match Results'!A123</f>
        <v>45953</v>
      </c>
      <c r="B486" s="13" t="n">
        <f aca="false">'Match Results'!B486</f>
        <v>0</v>
      </c>
      <c r="C486" s="13" t="n">
        <f aca="false">C482+1</f>
        <v>123</v>
      </c>
      <c r="D486" s="13" t="n">
        <f aca="false">'Match Results'!C123</f>
        <v>0</v>
      </c>
      <c r="E486" s="13" t="str">
        <f aca="false">IF('Match Results'!F173&gt;'Match Results'!E173,"Win",IF('Match Results'!E172='Match Results'!F172,"Draw","Loss"))</f>
        <v>Draw</v>
      </c>
      <c r="F486" s="13" t="n">
        <f aca="false">IF(E486="Win",3,IF(E486="Draw",2,1))</f>
        <v>2</v>
      </c>
    </row>
    <row r="487" customFormat="false" ht="14.25" hidden="false" customHeight="false" outlineLevel="0" collapsed="false">
      <c r="A487" s="13" t="n">
        <f aca="false">'Match Results'!A123</f>
        <v>45953</v>
      </c>
      <c r="B487" s="13" t="n">
        <f aca="false">'Match Results'!B487</f>
        <v>0</v>
      </c>
      <c r="C487" s="13" t="n">
        <f aca="false">C483+1</f>
        <v>123</v>
      </c>
      <c r="D487" s="13" t="n">
        <f aca="false">'Match Results'!D123</f>
        <v>0</v>
      </c>
      <c r="E487" s="13" t="str">
        <f aca="false">IF('Match Results'!F174&gt;'Match Results'!E174,"Win",IF('Match Results'!E173='Match Results'!F173,"Draw","Loss"))</f>
        <v>Draw</v>
      </c>
      <c r="F487" s="13" t="n">
        <f aca="false">IF(E487="Win",3,IF(E487="Draw",2,1))</f>
        <v>2</v>
      </c>
    </row>
    <row r="488" customFormat="false" ht="14.25" hidden="false" customHeight="false" outlineLevel="0" collapsed="false">
      <c r="A488" s="13" t="n">
        <f aca="false">'Match Results'!A123</f>
        <v>45953</v>
      </c>
      <c r="B488" s="13" t="n">
        <f aca="false">'Match Results'!B488</f>
        <v>0</v>
      </c>
      <c r="C488" s="13" t="n">
        <f aca="false">C484+1</f>
        <v>123</v>
      </c>
      <c r="D488" s="13" t="n">
        <f aca="false">'Match Results'!G123</f>
        <v>0</v>
      </c>
      <c r="E488" s="13" t="str">
        <f aca="false">IF('Match Results'!F175&gt;'Match Results'!E175,"Win",IF('Match Results'!E174='Match Results'!F174,"Draw","Loss"))</f>
        <v>Draw</v>
      </c>
      <c r="F488" s="13" t="n">
        <f aca="false">IF(E488="Win",3,IF(E488="Draw",2,1))</f>
        <v>2</v>
      </c>
    </row>
    <row r="489" customFormat="false" ht="14.25" hidden="false" customHeight="false" outlineLevel="0" collapsed="false">
      <c r="A489" s="13" t="n">
        <f aca="false">'Match Results'!A123</f>
        <v>45953</v>
      </c>
      <c r="B489" s="13" t="n">
        <f aca="false">'Match Results'!B489</f>
        <v>0</v>
      </c>
      <c r="C489" s="13" t="n">
        <f aca="false">C485+1</f>
        <v>123</v>
      </c>
      <c r="D489" s="13" t="n">
        <f aca="false">'Match Results'!H123</f>
        <v>0</v>
      </c>
      <c r="E489" s="13" t="str">
        <f aca="false">IF('Match Results'!F176&gt;'Match Results'!E176,"Win",IF('Match Results'!E175='Match Results'!F175,"Draw","Loss"))</f>
        <v>Draw</v>
      </c>
      <c r="F489" s="13" t="n">
        <f aca="false">IF(E489="Win",3,IF(E489="Draw",2,1))</f>
        <v>2</v>
      </c>
    </row>
    <row r="490" customFormat="false" ht="14.25" hidden="false" customHeight="false" outlineLevel="0" collapsed="false">
      <c r="A490" s="13" t="n">
        <f aca="false">'Match Results'!A124</f>
        <v>45953</v>
      </c>
      <c r="B490" s="13" t="n">
        <f aca="false">'Match Results'!B490</f>
        <v>0</v>
      </c>
      <c r="C490" s="13" t="n">
        <f aca="false">C486+1</f>
        <v>124</v>
      </c>
      <c r="D490" s="13" t="n">
        <f aca="false">'Match Results'!C124</f>
        <v>0</v>
      </c>
      <c r="E490" s="13" t="str">
        <f aca="false">IF('Match Results'!F177&gt;'Match Results'!E177,"Win",IF('Match Results'!E176='Match Results'!F176,"Draw","Loss"))</f>
        <v>Draw</v>
      </c>
      <c r="F490" s="13" t="n">
        <f aca="false">IF(E490="Win",3,IF(E490="Draw",2,1))</f>
        <v>2</v>
      </c>
    </row>
    <row r="491" customFormat="false" ht="14.25" hidden="false" customHeight="false" outlineLevel="0" collapsed="false">
      <c r="A491" s="13" t="n">
        <f aca="false">'Match Results'!A124</f>
        <v>45953</v>
      </c>
      <c r="B491" s="13" t="n">
        <f aca="false">'Match Results'!B491</f>
        <v>0</v>
      </c>
      <c r="C491" s="13" t="n">
        <f aca="false">C487+1</f>
        <v>124</v>
      </c>
      <c r="D491" s="13" t="n">
        <f aca="false">'Match Results'!D124</f>
        <v>0</v>
      </c>
      <c r="E491" s="13" t="str">
        <f aca="false">IF('Match Results'!F178&gt;'Match Results'!E178,"Win",IF('Match Results'!E177='Match Results'!F177,"Draw","Loss"))</f>
        <v>Draw</v>
      </c>
      <c r="F491" s="13" t="n">
        <f aca="false">IF(E491="Win",3,IF(E491="Draw",2,1))</f>
        <v>2</v>
      </c>
    </row>
    <row r="492" customFormat="false" ht="14.25" hidden="false" customHeight="false" outlineLevel="0" collapsed="false">
      <c r="A492" s="13" t="n">
        <f aca="false">'Match Results'!A124</f>
        <v>45953</v>
      </c>
      <c r="B492" s="13" t="n">
        <f aca="false">'Match Results'!B492</f>
        <v>0</v>
      </c>
      <c r="C492" s="13" t="n">
        <f aca="false">C488+1</f>
        <v>124</v>
      </c>
      <c r="D492" s="13" t="n">
        <f aca="false">'Match Results'!G124</f>
        <v>0</v>
      </c>
      <c r="E492" s="13" t="str">
        <f aca="false">IF('Match Results'!F179&gt;'Match Results'!E179,"Win",IF('Match Results'!E178='Match Results'!F178,"Draw","Loss"))</f>
        <v>Draw</v>
      </c>
      <c r="F492" s="13" t="n">
        <f aca="false">IF(E492="Win",3,IF(E492="Draw",2,1))</f>
        <v>2</v>
      </c>
    </row>
    <row r="493" customFormat="false" ht="14.25" hidden="false" customHeight="false" outlineLevel="0" collapsed="false">
      <c r="A493" s="13" t="n">
        <f aca="false">'Match Results'!A124</f>
        <v>45953</v>
      </c>
      <c r="B493" s="13" t="n">
        <f aca="false">'Match Results'!B493</f>
        <v>0</v>
      </c>
      <c r="C493" s="13" t="n">
        <f aca="false">C489+1</f>
        <v>124</v>
      </c>
      <c r="D493" s="13" t="n">
        <f aca="false">'Match Results'!H124</f>
        <v>0</v>
      </c>
      <c r="E493" s="13" t="str">
        <f aca="false">IF('Match Results'!F180&gt;'Match Results'!E180,"Win",IF('Match Results'!E179='Match Results'!F179,"Draw","Loss"))</f>
        <v>Draw</v>
      </c>
      <c r="F493" s="13" t="n">
        <f aca="false">IF(E493="Win",3,IF(E493="Draw",2,1))</f>
        <v>2</v>
      </c>
    </row>
    <row r="494" customFormat="false" ht="14.25" hidden="false" customHeight="false" outlineLevel="0" collapsed="false">
      <c r="A494" s="13" t="n">
        <f aca="false">'Match Results'!A125</f>
        <v>45953</v>
      </c>
      <c r="B494" s="13" t="n">
        <f aca="false">'Match Results'!B494</f>
        <v>0</v>
      </c>
      <c r="C494" s="13" t="n">
        <f aca="false">C490+1</f>
        <v>125</v>
      </c>
      <c r="D494" s="13" t="n">
        <f aca="false">'Match Results'!C125</f>
        <v>0</v>
      </c>
      <c r="E494" s="13" t="str">
        <f aca="false">IF('Match Results'!F181&gt;'Match Results'!E181,"Win",IF('Match Results'!E180='Match Results'!F180,"Draw","Loss"))</f>
        <v>Draw</v>
      </c>
      <c r="F494" s="13" t="n">
        <f aca="false">IF(E494="Win",3,IF(E494="Draw",2,1))</f>
        <v>2</v>
      </c>
    </row>
    <row r="495" customFormat="false" ht="14.25" hidden="false" customHeight="false" outlineLevel="0" collapsed="false">
      <c r="A495" s="13" t="n">
        <f aca="false">'Match Results'!A125</f>
        <v>45953</v>
      </c>
      <c r="B495" s="13" t="n">
        <f aca="false">'Match Results'!B495</f>
        <v>0</v>
      </c>
      <c r="C495" s="13" t="n">
        <f aca="false">C491+1</f>
        <v>125</v>
      </c>
      <c r="D495" s="13" t="n">
        <f aca="false">'Match Results'!D125</f>
        <v>0</v>
      </c>
      <c r="E495" s="13" t="str">
        <f aca="false">IF('Match Results'!F182&gt;'Match Results'!E182,"Win",IF('Match Results'!E181='Match Results'!F181,"Draw","Loss"))</f>
        <v>Draw</v>
      </c>
      <c r="F495" s="13" t="n">
        <f aca="false">IF(E495="Win",3,IF(E495="Draw",2,1))</f>
        <v>2</v>
      </c>
    </row>
    <row r="496" customFormat="false" ht="14.25" hidden="false" customHeight="false" outlineLevel="0" collapsed="false">
      <c r="A496" s="13" t="n">
        <f aca="false">'Match Results'!A125</f>
        <v>45953</v>
      </c>
      <c r="B496" s="13" t="n">
        <f aca="false">'Match Results'!B496</f>
        <v>0</v>
      </c>
      <c r="C496" s="13" t="n">
        <f aca="false">C492+1</f>
        <v>125</v>
      </c>
      <c r="D496" s="13" t="n">
        <f aca="false">'Match Results'!G125</f>
        <v>0</v>
      </c>
      <c r="E496" s="13" t="str">
        <f aca="false">IF('Match Results'!F183&gt;'Match Results'!E183,"Win",IF('Match Results'!E182='Match Results'!F182,"Draw","Loss"))</f>
        <v>Draw</v>
      </c>
      <c r="F496" s="13" t="n">
        <f aca="false">IF(E496="Win",3,IF(E496="Draw",2,1))</f>
        <v>2</v>
      </c>
    </row>
    <row r="497" customFormat="false" ht="14.25" hidden="false" customHeight="false" outlineLevel="0" collapsed="false">
      <c r="A497" s="13" t="n">
        <f aca="false">'Match Results'!A125</f>
        <v>45953</v>
      </c>
      <c r="B497" s="13" t="n">
        <f aca="false">'Match Results'!B497</f>
        <v>0</v>
      </c>
      <c r="C497" s="13" t="n">
        <f aca="false">C493+1</f>
        <v>125</v>
      </c>
      <c r="D497" s="13" t="n">
        <f aca="false">'Match Results'!H125</f>
        <v>0</v>
      </c>
      <c r="E497" s="13" t="str">
        <f aca="false">IF('Match Results'!F184&gt;'Match Results'!E184,"Win",IF('Match Results'!E183='Match Results'!F183,"Draw","Loss"))</f>
        <v>Draw</v>
      </c>
      <c r="F497" s="13" t="n">
        <f aca="false">IF(E497="Win",3,IF(E497="Draw",2,1))</f>
        <v>2</v>
      </c>
    </row>
    <row r="498" customFormat="false" ht="14.25" hidden="false" customHeight="false" outlineLevel="0" collapsed="false">
      <c r="A498" s="13" t="n">
        <f aca="false">'Match Results'!A126</f>
        <v>45953</v>
      </c>
      <c r="B498" s="13" t="n">
        <f aca="false">'Match Results'!B498</f>
        <v>0</v>
      </c>
      <c r="C498" s="13" t="n">
        <f aca="false">C494+1</f>
        <v>126</v>
      </c>
      <c r="D498" s="13" t="n">
        <f aca="false">'Match Results'!C126</f>
        <v>0</v>
      </c>
      <c r="E498" s="13" t="str">
        <f aca="false">IF('Match Results'!F185&gt;'Match Results'!E185,"Win",IF('Match Results'!E184='Match Results'!F184,"Draw","Loss"))</f>
        <v>Draw</v>
      </c>
      <c r="F498" s="13" t="n">
        <f aca="false">IF(E498="Win",3,IF(E498="Draw",2,1))</f>
        <v>2</v>
      </c>
    </row>
    <row r="499" customFormat="false" ht="14.25" hidden="false" customHeight="false" outlineLevel="0" collapsed="false">
      <c r="A499" s="13" t="n">
        <f aca="false">'Match Results'!A126</f>
        <v>45953</v>
      </c>
      <c r="B499" s="13" t="n">
        <f aca="false">'Match Results'!B499</f>
        <v>0</v>
      </c>
      <c r="C499" s="13" t="n">
        <f aca="false">C495+1</f>
        <v>126</v>
      </c>
      <c r="D499" s="13" t="n">
        <f aca="false">'Match Results'!D126</f>
        <v>0</v>
      </c>
      <c r="E499" s="13" t="str">
        <f aca="false">IF('Match Results'!F186&gt;'Match Results'!E186,"Win",IF('Match Results'!E185='Match Results'!F185,"Draw","Loss"))</f>
        <v>Draw</v>
      </c>
      <c r="F499" s="13" t="n">
        <f aca="false">IF(E499="Win",3,IF(E499="Draw",2,1))</f>
        <v>2</v>
      </c>
    </row>
    <row r="500" customFormat="false" ht="14.25" hidden="false" customHeight="false" outlineLevel="0" collapsed="false">
      <c r="A500" s="13" t="n">
        <f aca="false">'Match Results'!A126</f>
        <v>45953</v>
      </c>
      <c r="B500" s="13" t="n">
        <f aca="false">'Match Results'!B500</f>
        <v>0</v>
      </c>
      <c r="C500" s="13" t="n">
        <f aca="false">C496+1</f>
        <v>126</v>
      </c>
      <c r="D500" s="13" t="n">
        <f aca="false">'Match Results'!G126</f>
        <v>0</v>
      </c>
      <c r="E500" s="13" t="str">
        <f aca="false">IF('Match Results'!F187&gt;'Match Results'!E187,"Win",IF('Match Results'!E186='Match Results'!F186,"Draw","Loss"))</f>
        <v>Draw</v>
      </c>
      <c r="F500" s="13" t="n">
        <f aca="false">IF(E500="Win",3,IF(E500="Draw",2,1))</f>
        <v>2</v>
      </c>
    </row>
    <row r="501" customFormat="false" ht="14.25" hidden="false" customHeight="false" outlineLevel="0" collapsed="false">
      <c r="A501" s="13" t="n">
        <f aca="false">'Match Results'!A126</f>
        <v>45953</v>
      </c>
      <c r="B501" s="13" t="n">
        <f aca="false">'Match Results'!B501</f>
        <v>0</v>
      </c>
      <c r="C501" s="13" t="n">
        <f aca="false">C497+1</f>
        <v>126</v>
      </c>
      <c r="D501" s="13" t="n">
        <f aca="false">'Match Results'!H126</f>
        <v>0</v>
      </c>
      <c r="E501" s="13" t="str">
        <f aca="false">IF('Match Results'!F188&gt;'Match Results'!E188,"Win",IF('Match Results'!E187='Match Results'!F187,"Draw","Loss"))</f>
        <v>Draw</v>
      </c>
      <c r="F501" s="13" t="n">
        <f aca="false">IF(E501="Win",3,IF(E501="Draw",2,1))</f>
        <v>2</v>
      </c>
    </row>
    <row r="502" customFormat="false" ht="14.25" hidden="false" customHeight="false" outlineLevel="0" collapsed="false">
      <c r="A502" s="13" t="n">
        <f aca="false">'Match Results'!A127</f>
        <v>45953</v>
      </c>
      <c r="B502" s="13" t="n">
        <f aca="false">'Match Results'!B502</f>
        <v>0</v>
      </c>
      <c r="C502" s="13" t="n">
        <f aca="false">C498+1</f>
        <v>127</v>
      </c>
      <c r="D502" s="13" t="n">
        <f aca="false">'Match Results'!C127</f>
        <v>0</v>
      </c>
      <c r="E502" s="13" t="str">
        <f aca="false">IF('Match Results'!F189&gt;'Match Results'!E189,"Win",IF('Match Results'!E188='Match Results'!F188,"Draw","Loss"))</f>
        <v>Draw</v>
      </c>
      <c r="F502" s="13" t="n">
        <f aca="false">IF(E502="Win",3,IF(E502="Draw",2,1))</f>
        <v>2</v>
      </c>
    </row>
    <row r="503" customFormat="false" ht="14.25" hidden="false" customHeight="false" outlineLevel="0" collapsed="false">
      <c r="A503" s="13" t="n">
        <f aca="false">'Match Results'!A127</f>
        <v>45953</v>
      </c>
      <c r="B503" s="13" t="n">
        <f aca="false">'Match Results'!B503</f>
        <v>0</v>
      </c>
      <c r="C503" s="13" t="n">
        <f aca="false">C499+1</f>
        <v>127</v>
      </c>
      <c r="D503" s="13" t="n">
        <f aca="false">'Match Results'!D127</f>
        <v>0</v>
      </c>
      <c r="E503" s="13" t="str">
        <f aca="false">IF('Match Results'!F190&gt;'Match Results'!E190,"Win",IF('Match Results'!E189='Match Results'!F189,"Draw","Loss"))</f>
        <v>Draw</v>
      </c>
      <c r="F503" s="13" t="n">
        <f aca="false">IF(E503="Win",3,IF(E503="Draw",2,1))</f>
        <v>2</v>
      </c>
    </row>
    <row r="504" customFormat="false" ht="14.25" hidden="false" customHeight="false" outlineLevel="0" collapsed="false">
      <c r="A504" s="13" t="n">
        <f aca="false">'Match Results'!A127</f>
        <v>45953</v>
      </c>
      <c r="B504" s="13" t="n">
        <f aca="false">'Match Results'!B504</f>
        <v>0</v>
      </c>
      <c r="C504" s="13" t="n">
        <f aca="false">C500+1</f>
        <v>127</v>
      </c>
      <c r="D504" s="13" t="n">
        <f aca="false">'Match Results'!G127</f>
        <v>0</v>
      </c>
      <c r="E504" s="13" t="str">
        <f aca="false">IF('Match Results'!F191&gt;'Match Results'!E191,"Win",IF('Match Results'!E190='Match Results'!F190,"Draw","Loss"))</f>
        <v>Draw</v>
      </c>
      <c r="F504" s="13" t="n">
        <f aca="false">IF(E504="Win",3,IF(E504="Draw",2,1))</f>
        <v>2</v>
      </c>
    </row>
    <row r="505" customFormat="false" ht="14.25" hidden="false" customHeight="false" outlineLevel="0" collapsed="false">
      <c r="A505" s="13" t="n">
        <f aca="false">'Match Results'!A127</f>
        <v>45953</v>
      </c>
      <c r="B505" s="13" t="n">
        <f aca="false">'Match Results'!B505</f>
        <v>0</v>
      </c>
      <c r="C505" s="13" t="n">
        <f aca="false">C501+1</f>
        <v>127</v>
      </c>
      <c r="D505" s="13" t="n">
        <f aca="false">'Match Results'!H127</f>
        <v>0</v>
      </c>
      <c r="E505" s="13" t="str">
        <f aca="false">IF('Match Results'!F192&gt;'Match Results'!E192,"Win",IF('Match Results'!E191='Match Results'!F191,"Draw","Loss"))</f>
        <v>Draw</v>
      </c>
      <c r="F505" s="13" t="n">
        <f aca="false">IF(E505="Win",3,IF(E505="Draw",2,1))</f>
        <v>2</v>
      </c>
    </row>
    <row r="506" customFormat="false" ht="14.25" hidden="false" customHeight="false" outlineLevel="0" collapsed="false">
      <c r="A506" s="13" t="n">
        <f aca="false">'Match Results'!A128</f>
        <v>45953</v>
      </c>
      <c r="B506" s="13" t="n">
        <f aca="false">'Match Results'!B506</f>
        <v>0</v>
      </c>
      <c r="C506" s="13" t="n">
        <f aca="false">C502+1</f>
        <v>128</v>
      </c>
      <c r="D506" s="13" t="n">
        <f aca="false">'Match Results'!C128</f>
        <v>0</v>
      </c>
      <c r="E506" s="13" t="str">
        <f aca="false">IF('Match Results'!F193&gt;'Match Results'!E193,"Win",IF('Match Results'!E192='Match Results'!F192,"Draw","Loss"))</f>
        <v>Draw</v>
      </c>
      <c r="F506" s="13" t="n">
        <f aca="false">IF(E506="Win",3,IF(E506="Draw",2,1))</f>
        <v>2</v>
      </c>
    </row>
    <row r="507" customFormat="false" ht="14.25" hidden="false" customHeight="false" outlineLevel="0" collapsed="false">
      <c r="A507" s="13" t="n">
        <f aca="false">'Match Results'!A128</f>
        <v>45953</v>
      </c>
      <c r="B507" s="13" t="n">
        <f aca="false">'Match Results'!B507</f>
        <v>0</v>
      </c>
      <c r="C507" s="13" t="n">
        <f aca="false">C503+1</f>
        <v>128</v>
      </c>
      <c r="D507" s="13" t="n">
        <f aca="false">'Match Results'!D128</f>
        <v>0</v>
      </c>
      <c r="E507" s="13" t="str">
        <f aca="false">IF('Match Results'!F194&gt;'Match Results'!E194,"Win",IF('Match Results'!E193='Match Results'!F193,"Draw","Loss"))</f>
        <v>Draw</v>
      </c>
      <c r="F507" s="13" t="n">
        <f aca="false">IF(E507="Win",3,IF(E507="Draw",2,1))</f>
        <v>2</v>
      </c>
    </row>
    <row r="508" customFormat="false" ht="14.25" hidden="false" customHeight="false" outlineLevel="0" collapsed="false">
      <c r="A508" s="13" t="n">
        <f aca="false">'Match Results'!A128</f>
        <v>45953</v>
      </c>
      <c r="B508" s="13" t="n">
        <f aca="false">'Match Results'!B508</f>
        <v>0</v>
      </c>
      <c r="C508" s="13" t="n">
        <f aca="false">C504+1</f>
        <v>128</v>
      </c>
      <c r="D508" s="13" t="n">
        <f aca="false">'Match Results'!G128</f>
        <v>0</v>
      </c>
      <c r="E508" s="13" t="str">
        <f aca="false">IF('Match Results'!F195&gt;'Match Results'!E195,"Win",IF('Match Results'!E194='Match Results'!F194,"Draw","Loss"))</f>
        <v>Draw</v>
      </c>
      <c r="F508" s="13" t="n">
        <f aca="false">IF(E508="Win",3,IF(E508="Draw",2,1))</f>
        <v>2</v>
      </c>
    </row>
    <row r="509" customFormat="false" ht="14.25" hidden="false" customHeight="false" outlineLevel="0" collapsed="false">
      <c r="A509" s="13" t="n">
        <f aca="false">'Match Results'!A128</f>
        <v>45953</v>
      </c>
      <c r="B509" s="13" t="n">
        <f aca="false">'Match Results'!B509</f>
        <v>0</v>
      </c>
      <c r="C509" s="13" t="n">
        <f aca="false">C505+1</f>
        <v>128</v>
      </c>
      <c r="D509" s="13" t="n">
        <f aca="false">'Match Results'!H128</f>
        <v>0</v>
      </c>
      <c r="E509" s="13" t="str">
        <f aca="false">IF('Match Results'!F196&gt;'Match Results'!E196,"Win",IF('Match Results'!E195='Match Results'!F195,"Draw","Loss"))</f>
        <v>Draw</v>
      </c>
      <c r="F509" s="13" t="n">
        <f aca="false">IF(E509="Win",3,IF(E509="Draw",2,1))</f>
        <v>2</v>
      </c>
    </row>
    <row r="510" customFormat="false" ht="14.25" hidden="false" customHeight="false" outlineLevel="0" collapsed="false">
      <c r="A510" s="13" t="n">
        <f aca="false">'Match Results'!A129</f>
        <v>45953</v>
      </c>
      <c r="B510" s="13" t="n">
        <f aca="false">'Match Results'!B510</f>
        <v>0</v>
      </c>
      <c r="C510" s="13" t="n">
        <f aca="false">C506+1</f>
        <v>129</v>
      </c>
      <c r="D510" s="13" t="n">
        <f aca="false">'Match Results'!C129</f>
        <v>0</v>
      </c>
      <c r="E510" s="13" t="str">
        <f aca="false">IF('Match Results'!F197&gt;'Match Results'!E197,"Win",IF('Match Results'!E196='Match Results'!F196,"Draw","Loss"))</f>
        <v>Draw</v>
      </c>
      <c r="F510" s="13" t="n">
        <f aca="false">IF(E510="Win",3,IF(E510="Draw",2,1))</f>
        <v>2</v>
      </c>
    </row>
    <row r="511" customFormat="false" ht="14.25" hidden="false" customHeight="false" outlineLevel="0" collapsed="false">
      <c r="A511" s="13" t="n">
        <f aca="false">'Match Results'!A129</f>
        <v>45953</v>
      </c>
      <c r="B511" s="13" t="n">
        <f aca="false">'Match Results'!B511</f>
        <v>0</v>
      </c>
      <c r="C511" s="13" t="n">
        <f aca="false">C507+1</f>
        <v>129</v>
      </c>
      <c r="D511" s="13" t="n">
        <f aca="false">'Match Results'!D129</f>
        <v>0</v>
      </c>
      <c r="E511" s="13" t="str">
        <f aca="false">IF('Match Results'!F198&gt;'Match Results'!E198,"Win",IF('Match Results'!E197='Match Results'!F197,"Draw","Loss"))</f>
        <v>Draw</v>
      </c>
      <c r="F511" s="13" t="n">
        <f aca="false">IF(E511="Win",3,IF(E511="Draw",2,1))</f>
        <v>2</v>
      </c>
    </row>
    <row r="512" customFormat="false" ht="14.25" hidden="false" customHeight="false" outlineLevel="0" collapsed="false">
      <c r="A512" s="13" t="n">
        <f aca="false">'Match Results'!A129</f>
        <v>45953</v>
      </c>
      <c r="B512" s="13" t="n">
        <f aca="false">'Match Results'!B512</f>
        <v>0</v>
      </c>
      <c r="C512" s="13" t="n">
        <f aca="false">C508+1</f>
        <v>129</v>
      </c>
      <c r="D512" s="13" t="n">
        <f aca="false">'Match Results'!G129</f>
        <v>0</v>
      </c>
      <c r="E512" s="13" t="str">
        <f aca="false">IF('Match Results'!F199&gt;'Match Results'!E199,"Win",IF('Match Results'!E198='Match Results'!F198,"Draw","Loss"))</f>
        <v>Draw</v>
      </c>
      <c r="F512" s="13" t="n">
        <f aca="false">IF(E512="Win",3,IF(E512="Draw",2,1))</f>
        <v>2</v>
      </c>
    </row>
    <row r="513" customFormat="false" ht="14.25" hidden="false" customHeight="false" outlineLevel="0" collapsed="false">
      <c r="A513" s="13" t="n">
        <f aca="false">'Match Results'!A129</f>
        <v>45953</v>
      </c>
      <c r="B513" s="13" t="n">
        <f aca="false">'Match Results'!B513</f>
        <v>0</v>
      </c>
      <c r="C513" s="13" t="n">
        <f aca="false">C509+1</f>
        <v>129</v>
      </c>
      <c r="D513" s="13" t="n">
        <f aca="false">'Match Results'!H129</f>
        <v>0</v>
      </c>
      <c r="E513" s="13" t="str">
        <f aca="false">IF('Match Results'!F200&gt;'Match Results'!E200,"Win",IF('Match Results'!E199='Match Results'!F199,"Draw","Loss"))</f>
        <v>Draw</v>
      </c>
      <c r="F513" s="13" t="n">
        <f aca="false">IF(E513="Win",3,IF(E513="Draw",2,1))</f>
        <v>2</v>
      </c>
    </row>
    <row r="514" customFormat="false" ht="14.25" hidden="false" customHeight="false" outlineLevel="0" collapsed="false">
      <c r="A514" s="13" t="n">
        <f aca="false">'Match Results'!A130</f>
        <v>45953</v>
      </c>
      <c r="B514" s="13" t="n">
        <f aca="false">'Match Results'!B514</f>
        <v>0</v>
      </c>
      <c r="C514" s="13" t="n">
        <f aca="false">C510+1</f>
        <v>130</v>
      </c>
      <c r="D514" s="13" t="n">
        <f aca="false">'Match Results'!C130</f>
        <v>0</v>
      </c>
      <c r="E514" s="13" t="str">
        <f aca="false">IF('Match Results'!F201&gt;'Match Results'!E201,"Win",IF('Match Results'!E200='Match Results'!F200,"Draw","Loss"))</f>
        <v>Draw</v>
      </c>
      <c r="F514" s="13" t="n">
        <f aca="false">IF(E514="Win",3,IF(E514="Draw",2,1))</f>
        <v>2</v>
      </c>
    </row>
    <row r="515" customFormat="false" ht="14.25" hidden="false" customHeight="false" outlineLevel="0" collapsed="false">
      <c r="A515" s="13" t="n">
        <f aca="false">'Match Results'!A130</f>
        <v>45953</v>
      </c>
      <c r="B515" s="13" t="n">
        <f aca="false">'Match Results'!B515</f>
        <v>0</v>
      </c>
      <c r="C515" s="13" t="n">
        <f aca="false">C511+1</f>
        <v>130</v>
      </c>
      <c r="D515" s="13" t="n">
        <f aca="false">'Match Results'!D130</f>
        <v>0</v>
      </c>
      <c r="E515" s="13" t="str">
        <f aca="false">IF('Match Results'!F202&gt;'Match Results'!E202,"Win",IF('Match Results'!E201='Match Results'!F201,"Draw","Loss"))</f>
        <v>Draw</v>
      </c>
      <c r="F515" s="13" t="n">
        <f aca="false">IF(E515="Win",3,IF(E515="Draw",2,1))</f>
        <v>2</v>
      </c>
    </row>
    <row r="516" customFormat="false" ht="14.25" hidden="false" customHeight="false" outlineLevel="0" collapsed="false">
      <c r="A516" s="13" t="n">
        <f aca="false">'Match Results'!A130</f>
        <v>45953</v>
      </c>
      <c r="B516" s="13" t="n">
        <f aca="false">'Match Results'!B516</f>
        <v>0</v>
      </c>
      <c r="C516" s="13" t="n">
        <f aca="false">C512+1</f>
        <v>130</v>
      </c>
      <c r="D516" s="13" t="n">
        <f aca="false">'Match Results'!G130</f>
        <v>0</v>
      </c>
      <c r="E516" s="13" t="str">
        <f aca="false">IF('Match Results'!F203&gt;'Match Results'!E203,"Win",IF('Match Results'!E202='Match Results'!F202,"Draw","Loss"))</f>
        <v>Draw</v>
      </c>
      <c r="F516" s="13" t="n">
        <f aca="false">IF(E516="Win",3,IF(E516="Draw",2,1))</f>
        <v>2</v>
      </c>
    </row>
    <row r="517" customFormat="false" ht="14.25" hidden="false" customHeight="false" outlineLevel="0" collapsed="false">
      <c r="A517" s="13" t="n">
        <f aca="false">'Match Results'!A130</f>
        <v>45953</v>
      </c>
      <c r="B517" s="13" t="n">
        <f aca="false">'Match Results'!B517</f>
        <v>0</v>
      </c>
      <c r="C517" s="13" t="n">
        <f aca="false">C513+1</f>
        <v>130</v>
      </c>
      <c r="D517" s="13" t="n">
        <f aca="false">'Match Results'!H130</f>
        <v>0</v>
      </c>
      <c r="E517" s="13" t="str">
        <f aca="false">IF('Match Results'!F204&gt;'Match Results'!E204,"Win",IF('Match Results'!E203='Match Results'!F203,"Draw","Loss"))</f>
        <v>Draw</v>
      </c>
      <c r="F517" s="13" t="n">
        <f aca="false">IF(E517="Win",3,IF(E517="Draw",2,1))</f>
        <v>2</v>
      </c>
    </row>
    <row r="518" customFormat="false" ht="14.25" hidden="false" customHeight="false" outlineLevel="0" collapsed="false">
      <c r="A518" s="13" t="n">
        <f aca="false">'Match Results'!A131</f>
        <v>45960</v>
      </c>
      <c r="B518" s="13" t="n">
        <f aca="false">'Match Results'!B518</f>
        <v>0</v>
      </c>
      <c r="C518" s="13" t="n">
        <f aca="false">C514+1</f>
        <v>131</v>
      </c>
      <c r="D518" s="13" t="n">
        <f aca="false">'Match Results'!C131</f>
        <v>0</v>
      </c>
      <c r="E518" s="13" t="str">
        <f aca="false">IF('Match Results'!F205&gt;'Match Results'!E205,"Win",IF('Match Results'!E204='Match Results'!F204,"Draw","Loss"))</f>
        <v>Draw</v>
      </c>
      <c r="F518" s="13" t="n">
        <f aca="false">IF(E518="Win",3,IF(E518="Draw",2,1))</f>
        <v>2</v>
      </c>
    </row>
    <row r="519" customFormat="false" ht="14.25" hidden="false" customHeight="false" outlineLevel="0" collapsed="false">
      <c r="A519" s="13" t="n">
        <f aca="false">'Match Results'!A131</f>
        <v>45960</v>
      </c>
      <c r="B519" s="13" t="n">
        <f aca="false">'Match Results'!B519</f>
        <v>0</v>
      </c>
      <c r="C519" s="13" t="n">
        <f aca="false">C515+1</f>
        <v>131</v>
      </c>
      <c r="D519" s="13" t="n">
        <f aca="false">'Match Results'!D131</f>
        <v>0</v>
      </c>
      <c r="E519" s="13" t="str">
        <f aca="false">IF('Match Results'!F206&gt;'Match Results'!E206,"Win",IF('Match Results'!E205='Match Results'!F205,"Draw","Loss"))</f>
        <v>Draw</v>
      </c>
      <c r="F519" s="13" t="n">
        <f aca="false">IF(E519="Win",3,IF(E519="Draw",2,1))</f>
        <v>2</v>
      </c>
    </row>
    <row r="520" customFormat="false" ht="14.25" hidden="false" customHeight="false" outlineLevel="0" collapsed="false">
      <c r="A520" s="13" t="n">
        <f aca="false">'Match Results'!A131</f>
        <v>45960</v>
      </c>
      <c r="B520" s="13" t="n">
        <f aca="false">'Match Results'!B520</f>
        <v>0</v>
      </c>
      <c r="C520" s="13" t="n">
        <f aca="false">C516+1</f>
        <v>131</v>
      </c>
      <c r="D520" s="13" t="n">
        <f aca="false">'Match Results'!G131</f>
        <v>0</v>
      </c>
      <c r="E520" s="13" t="str">
        <f aca="false">IF('Match Results'!F207&gt;'Match Results'!E207,"Win",IF('Match Results'!E206='Match Results'!F206,"Draw","Loss"))</f>
        <v>Draw</v>
      </c>
      <c r="F520" s="13" t="n">
        <f aca="false">IF(E520="Win",3,IF(E520="Draw",2,1))</f>
        <v>2</v>
      </c>
    </row>
    <row r="521" customFormat="false" ht="14.25" hidden="false" customHeight="false" outlineLevel="0" collapsed="false">
      <c r="A521" s="13" t="n">
        <f aca="false">'Match Results'!A131</f>
        <v>45960</v>
      </c>
      <c r="B521" s="13" t="n">
        <f aca="false">'Match Results'!B521</f>
        <v>0</v>
      </c>
      <c r="C521" s="13" t="n">
        <f aca="false">C517+1</f>
        <v>131</v>
      </c>
      <c r="D521" s="13" t="n">
        <f aca="false">'Match Results'!H131</f>
        <v>0</v>
      </c>
      <c r="E521" s="13" t="str">
        <f aca="false">IF('Match Results'!F208&gt;'Match Results'!E208,"Win",IF('Match Results'!E207='Match Results'!F207,"Draw","Loss"))</f>
        <v>Draw</v>
      </c>
      <c r="F521" s="13" t="n">
        <f aca="false">IF(E521="Win",3,IF(E521="Draw",2,1))</f>
        <v>2</v>
      </c>
    </row>
    <row r="522" customFormat="false" ht="14.25" hidden="false" customHeight="false" outlineLevel="0" collapsed="false">
      <c r="A522" s="13" t="n">
        <f aca="false">'Match Results'!A132</f>
        <v>45960</v>
      </c>
      <c r="B522" s="13" t="n">
        <f aca="false">'Match Results'!B522</f>
        <v>0</v>
      </c>
      <c r="C522" s="13" t="n">
        <f aca="false">C518+1</f>
        <v>132</v>
      </c>
      <c r="D522" s="13" t="n">
        <f aca="false">'Match Results'!C132</f>
        <v>0</v>
      </c>
      <c r="E522" s="13" t="str">
        <f aca="false">IF('Match Results'!F209&gt;'Match Results'!E209,"Win",IF('Match Results'!E208='Match Results'!F208,"Draw","Loss"))</f>
        <v>Draw</v>
      </c>
      <c r="F522" s="13" t="n">
        <f aca="false">IF(E522="Win",3,IF(E522="Draw",2,1))</f>
        <v>2</v>
      </c>
    </row>
    <row r="523" customFormat="false" ht="14.25" hidden="false" customHeight="false" outlineLevel="0" collapsed="false">
      <c r="A523" s="13" t="n">
        <f aca="false">'Match Results'!A132</f>
        <v>45960</v>
      </c>
      <c r="B523" s="13" t="n">
        <f aca="false">'Match Results'!B523</f>
        <v>0</v>
      </c>
      <c r="C523" s="13" t="n">
        <f aca="false">C519+1</f>
        <v>132</v>
      </c>
      <c r="D523" s="13" t="n">
        <f aca="false">'Match Results'!D132</f>
        <v>0</v>
      </c>
      <c r="E523" s="13" t="str">
        <f aca="false">IF('Match Results'!F210&gt;'Match Results'!E210,"Win",IF('Match Results'!E209='Match Results'!F209,"Draw","Loss"))</f>
        <v>Draw</v>
      </c>
      <c r="F523" s="13" t="n">
        <f aca="false">IF(E523="Win",3,IF(E523="Draw",2,1))</f>
        <v>2</v>
      </c>
    </row>
    <row r="524" customFormat="false" ht="14.25" hidden="false" customHeight="false" outlineLevel="0" collapsed="false">
      <c r="A524" s="13" t="n">
        <f aca="false">'Match Results'!A132</f>
        <v>45960</v>
      </c>
      <c r="B524" s="13" t="n">
        <f aca="false">'Match Results'!B524</f>
        <v>0</v>
      </c>
      <c r="C524" s="13" t="n">
        <f aca="false">C520+1</f>
        <v>132</v>
      </c>
      <c r="D524" s="13" t="n">
        <f aca="false">'Match Results'!G132</f>
        <v>0</v>
      </c>
      <c r="E524" s="13" t="str">
        <f aca="false">IF('Match Results'!F211&gt;'Match Results'!E211,"Win",IF('Match Results'!E210='Match Results'!F210,"Draw","Loss"))</f>
        <v>Draw</v>
      </c>
      <c r="F524" s="13" t="n">
        <f aca="false">IF(E524="Win",3,IF(E524="Draw",2,1))</f>
        <v>2</v>
      </c>
    </row>
    <row r="525" customFormat="false" ht="14.25" hidden="false" customHeight="false" outlineLevel="0" collapsed="false">
      <c r="A525" s="13" t="n">
        <f aca="false">'Match Results'!A132</f>
        <v>45960</v>
      </c>
      <c r="B525" s="13" t="n">
        <f aca="false">'Match Results'!B525</f>
        <v>0</v>
      </c>
      <c r="C525" s="13" t="n">
        <f aca="false">C521+1</f>
        <v>132</v>
      </c>
      <c r="D525" s="13" t="n">
        <f aca="false">'Match Results'!H132</f>
        <v>0</v>
      </c>
      <c r="E525" s="13" t="str">
        <f aca="false">IF('Match Results'!F212&gt;'Match Results'!E212,"Win",IF('Match Results'!E211='Match Results'!F211,"Draw","Loss"))</f>
        <v>Draw</v>
      </c>
      <c r="F525" s="13" t="n">
        <f aca="false">IF(E525="Win",3,IF(E525="Draw",2,1))</f>
        <v>2</v>
      </c>
    </row>
    <row r="526" customFormat="false" ht="14.25" hidden="false" customHeight="false" outlineLevel="0" collapsed="false">
      <c r="A526" s="13" t="n">
        <f aca="false">'Match Results'!A133</f>
        <v>45960</v>
      </c>
      <c r="B526" s="13" t="n">
        <f aca="false">'Match Results'!B526</f>
        <v>0</v>
      </c>
      <c r="C526" s="13" t="n">
        <f aca="false">C522+1</f>
        <v>133</v>
      </c>
      <c r="D526" s="13" t="n">
        <f aca="false">'Match Results'!C133</f>
        <v>0</v>
      </c>
      <c r="E526" s="13" t="str">
        <f aca="false">IF('Match Results'!F213&gt;'Match Results'!E213,"Win",IF('Match Results'!E212='Match Results'!F212,"Draw","Loss"))</f>
        <v>Draw</v>
      </c>
      <c r="F526" s="13" t="n">
        <f aca="false">IF(E526="Win",3,IF(E526="Draw",2,1))</f>
        <v>2</v>
      </c>
    </row>
    <row r="527" customFormat="false" ht="14.25" hidden="false" customHeight="false" outlineLevel="0" collapsed="false">
      <c r="A527" s="13" t="n">
        <f aca="false">'Match Results'!A133</f>
        <v>45960</v>
      </c>
      <c r="B527" s="13" t="n">
        <f aca="false">'Match Results'!B527</f>
        <v>0</v>
      </c>
      <c r="C527" s="13" t="n">
        <f aca="false">C523+1</f>
        <v>133</v>
      </c>
      <c r="D527" s="13" t="n">
        <f aca="false">'Match Results'!D133</f>
        <v>0</v>
      </c>
      <c r="E527" s="13" t="str">
        <f aca="false">IF('Match Results'!F214&gt;'Match Results'!E214,"Win",IF('Match Results'!E213='Match Results'!F213,"Draw","Loss"))</f>
        <v>Draw</v>
      </c>
      <c r="F527" s="13" t="n">
        <f aca="false">IF(E527="Win",3,IF(E527="Draw",2,1))</f>
        <v>2</v>
      </c>
    </row>
    <row r="528" customFormat="false" ht="14.25" hidden="false" customHeight="false" outlineLevel="0" collapsed="false">
      <c r="A528" s="13" t="n">
        <f aca="false">'Match Results'!A133</f>
        <v>45960</v>
      </c>
      <c r="B528" s="13" t="n">
        <f aca="false">'Match Results'!B528</f>
        <v>0</v>
      </c>
      <c r="C528" s="13" t="n">
        <f aca="false">C524+1</f>
        <v>133</v>
      </c>
      <c r="D528" s="13" t="n">
        <f aca="false">'Match Results'!G133</f>
        <v>0</v>
      </c>
      <c r="E528" s="13" t="str">
        <f aca="false">IF('Match Results'!F215&gt;'Match Results'!E215,"Win",IF('Match Results'!E214='Match Results'!F214,"Draw","Loss"))</f>
        <v>Draw</v>
      </c>
      <c r="F528" s="13" t="n">
        <f aca="false">IF(E528="Win",3,IF(E528="Draw",2,1))</f>
        <v>2</v>
      </c>
    </row>
    <row r="529" customFormat="false" ht="14.25" hidden="false" customHeight="false" outlineLevel="0" collapsed="false">
      <c r="A529" s="13" t="n">
        <f aca="false">'Match Results'!A133</f>
        <v>45960</v>
      </c>
      <c r="B529" s="13" t="n">
        <f aca="false">'Match Results'!B529</f>
        <v>0</v>
      </c>
      <c r="C529" s="13" t="n">
        <f aca="false">C525+1</f>
        <v>133</v>
      </c>
      <c r="D529" s="13" t="n">
        <f aca="false">'Match Results'!H133</f>
        <v>0</v>
      </c>
      <c r="E529" s="13" t="str">
        <f aca="false">IF('Match Results'!F216&gt;'Match Results'!E216,"Win",IF('Match Results'!E215='Match Results'!F215,"Draw","Loss"))</f>
        <v>Draw</v>
      </c>
      <c r="F529" s="13" t="n">
        <f aca="false">IF(E529="Win",3,IF(E529="Draw",2,1))</f>
        <v>2</v>
      </c>
    </row>
    <row r="530" customFormat="false" ht="14.25" hidden="false" customHeight="false" outlineLevel="0" collapsed="false">
      <c r="A530" s="13" t="n">
        <f aca="false">'Match Results'!A134</f>
        <v>45960</v>
      </c>
      <c r="B530" s="13" t="n">
        <f aca="false">'Match Results'!B530</f>
        <v>0</v>
      </c>
      <c r="C530" s="13" t="n">
        <f aca="false">C526+1</f>
        <v>134</v>
      </c>
      <c r="D530" s="13" t="n">
        <f aca="false">'Match Results'!C134</f>
        <v>0</v>
      </c>
      <c r="E530" s="13" t="str">
        <f aca="false">IF('Match Results'!F217&gt;'Match Results'!E217,"Win",IF('Match Results'!E216='Match Results'!F216,"Draw","Loss"))</f>
        <v>Draw</v>
      </c>
      <c r="F530" s="13" t="n">
        <f aca="false">IF(E530="Win",3,IF(E530="Draw",2,1))</f>
        <v>2</v>
      </c>
    </row>
    <row r="531" customFormat="false" ht="14.25" hidden="false" customHeight="false" outlineLevel="0" collapsed="false">
      <c r="A531" s="13" t="n">
        <f aca="false">'Match Results'!A134</f>
        <v>45960</v>
      </c>
      <c r="B531" s="13" t="n">
        <f aca="false">'Match Results'!B531</f>
        <v>0</v>
      </c>
      <c r="C531" s="13" t="n">
        <f aca="false">C527+1</f>
        <v>134</v>
      </c>
      <c r="D531" s="13" t="n">
        <f aca="false">'Match Results'!D134</f>
        <v>0</v>
      </c>
      <c r="E531" s="13" t="str">
        <f aca="false">IF('Match Results'!F218&gt;'Match Results'!E218,"Win",IF('Match Results'!E217='Match Results'!F217,"Draw","Loss"))</f>
        <v>Draw</v>
      </c>
      <c r="F531" s="13" t="n">
        <f aca="false">IF(E531="Win",3,IF(E531="Draw",2,1))</f>
        <v>2</v>
      </c>
    </row>
    <row r="532" customFormat="false" ht="14.25" hidden="false" customHeight="false" outlineLevel="0" collapsed="false">
      <c r="A532" s="13" t="n">
        <f aca="false">'Match Results'!A134</f>
        <v>45960</v>
      </c>
      <c r="B532" s="13" t="n">
        <f aca="false">'Match Results'!B532</f>
        <v>0</v>
      </c>
      <c r="C532" s="13" t="n">
        <f aca="false">C528+1</f>
        <v>134</v>
      </c>
      <c r="D532" s="13" t="n">
        <f aca="false">'Match Results'!G134</f>
        <v>0</v>
      </c>
      <c r="E532" s="13" t="str">
        <f aca="false">IF('Match Results'!F219&gt;'Match Results'!E219,"Win",IF('Match Results'!E218='Match Results'!F218,"Draw","Loss"))</f>
        <v>Draw</v>
      </c>
      <c r="F532" s="13" t="n">
        <f aca="false">IF(E532="Win",3,IF(E532="Draw",2,1))</f>
        <v>2</v>
      </c>
    </row>
    <row r="533" customFormat="false" ht="14.25" hidden="false" customHeight="false" outlineLevel="0" collapsed="false">
      <c r="A533" s="13" t="n">
        <f aca="false">'Match Results'!A134</f>
        <v>45960</v>
      </c>
      <c r="B533" s="13" t="n">
        <f aca="false">'Match Results'!B533</f>
        <v>0</v>
      </c>
      <c r="C533" s="13" t="n">
        <f aca="false">C529+1</f>
        <v>134</v>
      </c>
      <c r="D533" s="13" t="n">
        <f aca="false">'Match Results'!H134</f>
        <v>0</v>
      </c>
      <c r="E533" s="13" t="str">
        <f aca="false">IF('Match Results'!F220&gt;'Match Results'!E220,"Win",IF('Match Results'!E219='Match Results'!F219,"Draw","Loss"))</f>
        <v>Draw</v>
      </c>
      <c r="F533" s="13" t="n">
        <f aca="false">IF(E533="Win",3,IF(E533="Draw",2,1))</f>
        <v>2</v>
      </c>
    </row>
    <row r="534" customFormat="false" ht="14.25" hidden="false" customHeight="false" outlineLevel="0" collapsed="false">
      <c r="A534" s="13" t="n">
        <f aca="false">'Match Results'!A135</f>
        <v>45960</v>
      </c>
      <c r="B534" s="13" t="n">
        <f aca="false">'Match Results'!B534</f>
        <v>0</v>
      </c>
      <c r="C534" s="13" t="n">
        <f aca="false">C530+1</f>
        <v>135</v>
      </c>
      <c r="D534" s="13" t="n">
        <f aca="false">'Match Results'!C135</f>
        <v>0</v>
      </c>
      <c r="E534" s="13" t="str">
        <f aca="false">IF('Match Results'!F221&gt;'Match Results'!E221,"Win",IF('Match Results'!E220='Match Results'!F220,"Draw","Loss"))</f>
        <v>Draw</v>
      </c>
      <c r="F534" s="13" t="n">
        <f aca="false">IF(E534="Win",3,IF(E534="Draw",2,1))</f>
        <v>2</v>
      </c>
    </row>
    <row r="535" customFormat="false" ht="14.25" hidden="false" customHeight="false" outlineLevel="0" collapsed="false">
      <c r="A535" s="13" t="n">
        <f aca="false">'Match Results'!A135</f>
        <v>45960</v>
      </c>
      <c r="B535" s="13" t="n">
        <f aca="false">'Match Results'!B535</f>
        <v>0</v>
      </c>
      <c r="C535" s="13" t="n">
        <f aca="false">C531+1</f>
        <v>135</v>
      </c>
      <c r="D535" s="13" t="n">
        <f aca="false">'Match Results'!D135</f>
        <v>0</v>
      </c>
      <c r="E535" s="13" t="str">
        <f aca="false">IF('Match Results'!F222&gt;'Match Results'!E222,"Win",IF('Match Results'!E221='Match Results'!F221,"Draw","Loss"))</f>
        <v>Draw</v>
      </c>
      <c r="F535" s="13" t="n">
        <f aca="false">IF(E535="Win",3,IF(E535="Draw",2,1))</f>
        <v>2</v>
      </c>
    </row>
    <row r="536" customFormat="false" ht="14.25" hidden="false" customHeight="false" outlineLevel="0" collapsed="false">
      <c r="A536" s="13" t="n">
        <f aca="false">'Match Results'!A135</f>
        <v>45960</v>
      </c>
      <c r="B536" s="13" t="n">
        <f aca="false">'Match Results'!B536</f>
        <v>0</v>
      </c>
      <c r="C536" s="13" t="n">
        <f aca="false">C532+1</f>
        <v>135</v>
      </c>
      <c r="D536" s="13" t="n">
        <f aca="false">'Match Results'!G135</f>
        <v>0</v>
      </c>
      <c r="E536" s="13" t="str">
        <f aca="false">IF('Match Results'!F223&gt;'Match Results'!E223,"Win",IF('Match Results'!E222='Match Results'!F222,"Draw","Loss"))</f>
        <v>Draw</v>
      </c>
      <c r="F536" s="13" t="n">
        <f aca="false">IF(E536="Win",3,IF(E536="Draw",2,1))</f>
        <v>2</v>
      </c>
    </row>
    <row r="537" customFormat="false" ht="14.25" hidden="false" customHeight="false" outlineLevel="0" collapsed="false">
      <c r="A537" s="13" t="n">
        <f aca="false">'Match Results'!A135</f>
        <v>45960</v>
      </c>
      <c r="B537" s="13" t="n">
        <f aca="false">'Match Results'!B537</f>
        <v>0</v>
      </c>
      <c r="C537" s="13" t="n">
        <f aca="false">C533+1</f>
        <v>135</v>
      </c>
      <c r="D537" s="13" t="n">
        <f aca="false">'Match Results'!H135</f>
        <v>0</v>
      </c>
      <c r="E537" s="13" t="str">
        <f aca="false">IF('Match Results'!F224&gt;'Match Results'!E224,"Win",IF('Match Results'!E223='Match Results'!F223,"Draw","Loss"))</f>
        <v>Draw</v>
      </c>
      <c r="F537" s="13" t="n">
        <f aca="false">IF(E537="Win",3,IF(E537="Draw",2,1))</f>
        <v>2</v>
      </c>
    </row>
    <row r="538" customFormat="false" ht="14.25" hidden="false" customHeight="false" outlineLevel="0" collapsed="false">
      <c r="A538" s="13" t="n">
        <f aca="false">'Match Results'!A136</f>
        <v>45960</v>
      </c>
      <c r="B538" s="13" t="n">
        <f aca="false">'Match Results'!B538</f>
        <v>0</v>
      </c>
      <c r="C538" s="13" t="n">
        <f aca="false">C534+1</f>
        <v>136</v>
      </c>
      <c r="D538" s="13" t="n">
        <f aca="false">'Match Results'!C136</f>
        <v>0</v>
      </c>
      <c r="E538" s="13" t="str">
        <f aca="false">IF('Match Results'!F225&gt;'Match Results'!E225,"Win",IF('Match Results'!E224='Match Results'!F224,"Draw","Loss"))</f>
        <v>Draw</v>
      </c>
      <c r="F538" s="13" t="n">
        <f aca="false">IF(E538="Win",3,IF(E538="Draw",2,1))</f>
        <v>2</v>
      </c>
    </row>
    <row r="539" customFormat="false" ht="14.25" hidden="false" customHeight="false" outlineLevel="0" collapsed="false">
      <c r="A539" s="13" t="n">
        <f aca="false">'Match Results'!A136</f>
        <v>45960</v>
      </c>
      <c r="B539" s="13" t="n">
        <f aca="false">'Match Results'!B539</f>
        <v>0</v>
      </c>
      <c r="C539" s="13" t="n">
        <f aca="false">C535+1</f>
        <v>136</v>
      </c>
      <c r="D539" s="13" t="n">
        <f aca="false">'Match Results'!D136</f>
        <v>0</v>
      </c>
      <c r="E539" s="13" t="str">
        <f aca="false">IF('Match Results'!F226&gt;'Match Results'!E226,"Win",IF('Match Results'!E225='Match Results'!F225,"Draw","Loss"))</f>
        <v>Draw</v>
      </c>
      <c r="F539" s="13" t="n">
        <f aca="false">IF(E539="Win",3,IF(E539="Draw",2,1))</f>
        <v>2</v>
      </c>
    </row>
    <row r="540" customFormat="false" ht="14.25" hidden="false" customHeight="false" outlineLevel="0" collapsed="false">
      <c r="A540" s="13" t="n">
        <f aca="false">'Match Results'!A136</f>
        <v>45960</v>
      </c>
      <c r="B540" s="13" t="n">
        <f aca="false">'Match Results'!B540</f>
        <v>0</v>
      </c>
      <c r="C540" s="13" t="n">
        <f aca="false">C536+1</f>
        <v>136</v>
      </c>
      <c r="D540" s="13" t="n">
        <f aca="false">'Match Results'!G136</f>
        <v>0</v>
      </c>
      <c r="E540" s="13" t="str">
        <f aca="false">IF('Match Results'!F227&gt;'Match Results'!E227,"Win",IF('Match Results'!E226='Match Results'!F226,"Draw","Loss"))</f>
        <v>Draw</v>
      </c>
      <c r="F540" s="13" t="n">
        <f aca="false">IF(E540="Win",3,IF(E540="Draw",2,1))</f>
        <v>2</v>
      </c>
    </row>
    <row r="541" customFormat="false" ht="14.25" hidden="false" customHeight="false" outlineLevel="0" collapsed="false">
      <c r="A541" s="13" t="n">
        <f aca="false">'Match Results'!A136</f>
        <v>45960</v>
      </c>
      <c r="B541" s="13" t="n">
        <f aca="false">'Match Results'!B541</f>
        <v>0</v>
      </c>
      <c r="C541" s="13" t="n">
        <f aca="false">C537+1</f>
        <v>136</v>
      </c>
      <c r="D541" s="13" t="n">
        <f aca="false">'Match Results'!H136</f>
        <v>0</v>
      </c>
      <c r="E541" s="13" t="str">
        <f aca="false">IF('Match Results'!F228&gt;'Match Results'!E228,"Win",IF('Match Results'!E227='Match Results'!F227,"Draw","Loss"))</f>
        <v>Draw</v>
      </c>
      <c r="F541" s="13" t="n">
        <f aca="false">IF(E541="Win",3,IF(E541="Draw",2,1))</f>
        <v>2</v>
      </c>
    </row>
    <row r="542" customFormat="false" ht="14.25" hidden="false" customHeight="false" outlineLevel="0" collapsed="false">
      <c r="A542" s="13" t="n">
        <f aca="false">'Match Results'!A137</f>
        <v>45960</v>
      </c>
      <c r="B542" s="13" t="n">
        <f aca="false">'Match Results'!B542</f>
        <v>0</v>
      </c>
      <c r="C542" s="13" t="n">
        <f aca="false">C538+1</f>
        <v>137</v>
      </c>
      <c r="D542" s="13" t="n">
        <f aca="false">'Match Results'!C137</f>
        <v>0</v>
      </c>
      <c r="E542" s="13" t="str">
        <f aca="false">IF('Match Results'!F229&gt;'Match Results'!E229,"Win",IF('Match Results'!E228='Match Results'!F228,"Draw","Loss"))</f>
        <v>Draw</v>
      </c>
      <c r="F542" s="13" t="n">
        <f aca="false">IF(E542="Win",3,IF(E542="Draw",2,1))</f>
        <v>2</v>
      </c>
    </row>
    <row r="543" customFormat="false" ht="14.25" hidden="false" customHeight="false" outlineLevel="0" collapsed="false">
      <c r="A543" s="13" t="n">
        <f aca="false">'Match Results'!A137</f>
        <v>45960</v>
      </c>
      <c r="B543" s="13" t="n">
        <f aca="false">'Match Results'!B543</f>
        <v>0</v>
      </c>
      <c r="C543" s="13" t="n">
        <f aca="false">C539+1</f>
        <v>137</v>
      </c>
      <c r="D543" s="13" t="n">
        <f aca="false">'Match Results'!D137</f>
        <v>0</v>
      </c>
      <c r="E543" s="13" t="str">
        <f aca="false">IF('Match Results'!F230&gt;'Match Results'!E230,"Win",IF('Match Results'!E229='Match Results'!F229,"Draw","Loss"))</f>
        <v>Draw</v>
      </c>
      <c r="F543" s="13" t="n">
        <f aca="false">IF(E543="Win",3,IF(E543="Draw",2,1))</f>
        <v>2</v>
      </c>
    </row>
    <row r="544" customFormat="false" ht="14.25" hidden="false" customHeight="false" outlineLevel="0" collapsed="false">
      <c r="A544" s="13" t="n">
        <f aca="false">'Match Results'!A137</f>
        <v>45960</v>
      </c>
      <c r="B544" s="13" t="n">
        <f aca="false">'Match Results'!B544</f>
        <v>0</v>
      </c>
      <c r="C544" s="13" t="n">
        <f aca="false">C540+1</f>
        <v>137</v>
      </c>
      <c r="D544" s="13" t="n">
        <f aca="false">'Match Results'!G137</f>
        <v>0</v>
      </c>
      <c r="E544" s="13" t="str">
        <f aca="false">IF('Match Results'!F231&gt;'Match Results'!E231,"Win",IF('Match Results'!E230='Match Results'!F230,"Draw","Loss"))</f>
        <v>Draw</v>
      </c>
      <c r="F544" s="13" t="n">
        <f aca="false">IF(E544="Win",3,IF(E544="Draw",2,1))</f>
        <v>2</v>
      </c>
    </row>
    <row r="545" customFormat="false" ht="14.25" hidden="false" customHeight="false" outlineLevel="0" collapsed="false">
      <c r="A545" s="13" t="n">
        <f aca="false">'Match Results'!A137</f>
        <v>45960</v>
      </c>
      <c r="B545" s="13" t="n">
        <f aca="false">'Match Results'!B545</f>
        <v>0</v>
      </c>
      <c r="C545" s="13" t="n">
        <f aca="false">C541+1</f>
        <v>137</v>
      </c>
      <c r="D545" s="13" t="n">
        <f aca="false">'Match Results'!H137</f>
        <v>0</v>
      </c>
      <c r="E545" s="13" t="str">
        <f aca="false">IF('Match Results'!F232&gt;'Match Results'!E232,"Win",IF('Match Results'!E231='Match Results'!F231,"Draw","Loss"))</f>
        <v>Draw</v>
      </c>
      <c r="F545" s="13" t="n">
        <f aca="false">IF(E545="Win",3,IF(E545="Draw",2,1))</f>
        <v>2</v>
      </c>
    </row>
    <row r="546" customFormat="false" ht="14.25" hidden="false" customHeight="false" outlineLevel="0" collapsed="false">
      <c r="A546" s="13" t="n">
        <f aca="false">'Match Results'!A138</f>
        <v>45960</v>
      </c>
      <c r="B546" s="13" t="n">
        <f aca="false">'Match Results'!B546</f>
        <v>0</v>
      </c>
      <c r="C546" s="13" t="n">
        <f aca="false">C542+1</f>
        <v>138</v>
      </c>
      <c r="D546" s="13" t="n">
        <f aca="false">'Match Results'!C138</f>
        <v>0</v>
      </c>
      <c r="E546" s="13" t="str">
        <f aca="false">IF('Match Results'!F233&gt;'Match Results'!E233,"Win",IF('Match Results'!E232='Match Results'!F232,"Draw","Loss"))</f>
        <v>Draw</v>
      </c>
      <c r="F546" s="13" t="n">
        <f aca="false">IF(E546="Win",3,IF(E546="Draw",2,1))</f>
        <v>2</v>
      </c>
    </row>
    <row r="547" customFormat="false" ht="14.25" hidden="false" customHeight="false" outlineLevel="0" collapsed="false">
      <c r="A547" s="13" t="n">
        <f aca="false">'Match Results'!A138</f>
        <v>45960</v>
      </c>
      <c r="B547" s="13" t="n">
        <f aca="false">'Match Results'!B547</f>
        <v>0</v>
      </c>
      <c r="C547" s="13" t="n">
        <f aca="false">C543+1</f>
        <v>138</v>
      </c>
      <c r="D547" s="13" t="n">
        <f aca="false">'Match Results'!D138</f>
        <v>0</v>
      </c>
      <c r="E547" s="13" t="str">
        <f aca="false">IF('Match Results'!F234&gt;'Match Results'!E234,"Win",IF('Match Results'!E233='Match Results'!F233,"Draw","Loss"))</f>
        <v>Draw</v>
      </c>
      <c r="F547" s="13" t="n">
        <f aca="false">IF(E547="Win",3,IF(E547="Draw",2,1))</f>
        <v>2</v>
      </c>
    </row>
    <row r="548" customFormat="false" ht="14.25" hidden="false" customHeight="false" outlineLevel="0" collapsed="false">
      <c r="A548" s="13" t="n">
        <f aca="false">'Match Results'!A138</f>
        <v>45960</v>
      </c>
      <c r="B548" s="13" t="n">
        <f aca="false">'Match Results'!B548</f>
        <v>0</v>
      </c>
      <c r="C548" s="13" t="n">
        <f aca="false">C544+1</f>
        <v>138</v>
      </c>
      <c r="D548" s="13" t="n">
        <f aca="false">'Match Results'!G138</f>
        <v>0</v>
      </c>
      <c r="E548" s="13" t="str">
        <f aca="false">IF('Match Results'!F235&gt;'Match Results'!E235,"Win",IF('Match Results'!E234='Match Results'!F234,"Draw","Loss"))</f>
        <v>Draw</v>
      </c>
      <c r="F548" s="13" t="n">
        <f aca="false">IF(E548="Win",3,IF(E548="Draw",2,1))</f>
        <v>2</v>
      </c>
    </row>
    <row r="549" customFormat="false" ht="14.25" hidden="false" customHeight="false" outlineLevel="0" collapsed="false">
      <c r="A549" s="13" t="n">
        <f aca="false">'Match Results'!A138</f>
        <v>45960</v>
      </c>
      <c r="B549" s="13" t="n">
        <f aca="false">'Match Results'!B549</f>
        <v>0</v>
      </c>
      <c r="C549" s="13" t="n">
        <f aca="false">C545+1</f>
        <v>138</v>
      </c>
      <c r="D549" s="13" t="n">
        <f aca="false">'Match Results'!H138</f>
        <v>0</v>
      </c>
      <c r="E549" s="13" t="str">
        <f aca="false">IF('Match Results'!F236&gt;'Match Results'!E236,"Win",IF('Match Results'!E235='Match Results'!F235,"Draw","Loss"))</f>
        <v>Draw</v>
      </c>
      <c r="F549" s="13" t="n">
        <f aca="false">IF(E549="Win",3,IF(E549="Draw",2,1))</f>
        <v>2</v>
      </c>
    </row>
    <row r="550" customFormat="false" ht="14.25" hidden="false" customHeight="false" outlineLevel="0" collapsed="false">
      <c r="A550" s="13" t="n">
        <f aca="false">'Match Results'!A139</f>
        <v>45960</v>
      </c>
      <c r="B550" s="13" t="n">
        <f aca="false">'Match Results'!B550</f>
        <v>0</v>
      </c>
      <c r="C550" s="13" t="n">
        <f aca="false">C546+1</f>
        <v>139</v>
      </c>
      <c r="D550" s="13" t="n">
        <f aca="false">'Match Results'!C139</f>
        <v>0</v>
      </c>
      <c r="E550" s="13" t="str">
        <f aca="false">IF('Match Results'!F237&gt;'Match Results'!E237,"Win",IF('Match Results'!E236='Match Results'!F236,"Draw","Loss"))</f>
        <v>Draw</v>
      </c>
      <c r="F550" s="13" t="n">
        <f aca="false">IF(E550="Win",3,IF(E550="Draw",2,1))</f>
        <v>2</v>
      </c>
    </row>
    <row r="551" customFormat="false" ht="14.25" hidden="false" customHeight="false" outlineLevel="0" collapsed="false">
      <c r="A551" s="13" t="n">
        <f aca="false">'Match Results'!A139</f>
        <v>45960</v>
      </c>
      <c r="B551" s="13" t="n">
        <f aca="false">'Match Results'!B551</f>
        <v>0</v>
      </c>
      <c r="C551" s="13" t="n">
        <f aca="false">C547+1</f>
        <v>139</v>
      </c>
      <c r="D551" s="13" t="n">
        <f aca="false">'Match Results'!D139</f>
        <v>0</v>
      </c>
      <c r="E551" s="13" t="str">
        <f aca="false">IF('Match Results'!F238&gt;'Match Results'!E238,"Win",IF('Match Results'!E237='Match Results'!F237,"Draw","Loss"))</f>
        <v>Draw</v>
      </c>
      <c r="F551" s="13" t="n">
        <f aca="false">IF(E551="Win",3,IF(E551="Draw",2,1))</f>
        <v>2</v>
      </c>
    </row>
    <row r="552" customFormat="false" ht="14.25" hidden="false" customHeight="false" outlineLevel="0" collapsed="false">
      <c r="A552" s="13" t="n">
        <f aca="false">'Match Results'!A139</f>
        <v>45960</v>
      </c>
      <c r="B552" s="13" t="n">
        <f aca="false">'Match Results'!B552</f>
        <v>0</v>
      </c>
      <c r="C552" s="13" t="n">
        <f aca="false">C548+1</f>
        <v>139</v>
      </c>
      <c r="D552" s="13" t="n">
        <f aca="false">'Match Results'!G139</f>
        <v>0</v>
      </c>
      <c r="E552" s="13" t="str">
        <f aca="false">IF('Match Results'!F239&gt;'Match Results'!E239,"Win",IF('Match Results'!E238='Match Results'!F238,"Draw","Loss"))</f>
        <v>Draw</v>
      </c>
      <c r="F552" s="13" t="n">
        <f aca="false">IF(E552="Win",3,IF(E552="Draw",2,1))</f>
        <v>2</v>
      </c>
    </row>
    <row r="553" customFormat="false" ht="14.25" hidden="false" customHeight="false" outlineLevel="0" collapsed="false">
      <c r="A553" s="13" t="n">
        <f aca="false">'Match Results'!A139</f>
        <v>45960</v>
      </c>
      <c r="B553" s="13" t="n">
        <f aca="false">'Match Results'!B553</f>
        <v>0</v>
      </c>
      <c r="C553" s="13" t="n">
        <f aca="false">C549+1</f>
        <v>139</v>
      </c>
      <c r="D553" s="13" t="n">
        <f aca="false">'Match Results'!H139</f>
        <v>0</v>
      </c>
      <c r="E553" s="13" t="str">
        <f aca="false">IF('Match Results'!F240&gt;'Match Results'!E240,"Win",IF('Match Results'!E239='Match Results'!F239,"Draw","Loss"))</f>
        <v>Draw</v>
      </c>
      <c r="F553" s="13" t="n">
        <f aca="false">IF(E553="Win",3,IF(E553="Draw",2,1))</f>
        <v>2</v>
      </c>
    </row>
    <row r="554" customFormat="false" ht="14.25" hidden="false" customHeight="false" outlineLevel="0" collapsed="false">
      <c r="A554" s="13" t="n">
        <f aca="false">'Match Results'!A140</f>
        <v>45960</v>
      </c>
      <c r="B554" s="13" t="n">
        <f aca="false">'Match Results'!B554</f>
        <v>0</v>
      </c>
      <c r="C554" s="13" t="n">
        <f aca="false">C550+1</f>
        <v>140</v>
      </c>
      <c r="D554" s="13" t="n">
        <f aca="false">'Match Results'!C140</f>
        <v>0</v>
      </c>
      <c r="E554" s="13" t="str">
        <f aca="false">IF('Match Results'!F241&gt;'Match Results'!E241,"Win",IF('Match Results'!E240='Match Results'!F240,"Draw","Loss"))</f>
        <v>Draw</v>
      </c>
      <c r="F554" s="13" t="n">
        <f aca="false">IF(E554="Win",3,IF(E554="Draw",2,1))</f>
        <v>2</v>
      </c>
    </row>
    <row r="555" customFormat="false" ht="14.25" hidden="false" customHeight="false" outlineLevel="0" collapsed="false">
      <c r="A555" s="13" t="n">
        <f aca="false">'Match Results'!A140</f>
        <v>45960</v>
      </c>
      <c r="B555" s="13" t="n">
        <f aca="false">'Match Results'!B555</f>
        <v>0</v>
      </c>
      <c r="C555" s="13" t="n">
        <f aca="false">C551+1</f>
        <v>140</v>
      </c>
      <c r="D555" s="13" t="n">
        <f aca="false">'Match Results'!D140</f>
        <v>0</v>
      </c>
      <c r="E555" s="13" t="str">
        <f aca="false">IF('Match Results'!F242&gt;'Match Results'!E242,"Win",IF('Match Results'!E241='Match Results'!F241,"Draw","Loss"))</f>
        <v>Draw</v>
      </c>
      <c r="F555" s="13" t="n">
        <f aca="false">IF(E555="Win",3,IF(E555="Draw",2,1))</f>
        <v>2</v>
      </c>
    </row>
    <row r="556" customFormat="false" ht="14.25" hidden="false" customHeight="false" outlineLevel="0" collapsed="false">
      <c r="A556" s="13" t="n">
        <f aca="false">'Match Results'!A140</f>
        <v>45960</v>
      </c>
      <c r="B556" s="13" t="n">
        <f aca="false">'Match Results'!B556</f>
        <v>0</v>
      </c>
      <c r="C556" s="13" t="n">
        <f aca="false">C552+1</f>
        <v>140</v>
      </c>
      <c r="D556" s="13" t="n">
        <f aca="false">'Match Results'!G140</f>
        <v>0</v>
      </c>
      <c r="E556" s="13" t="str">
        <f aca="false">IF('Match Results'!F243&gt;'Match Results'!E243,"Win",IF('Match Results'!E242='Match Results'!F242,"Draw","Loss"))</f>
        <v>Draw</v>
      </c>
      <c r="F556" s="13" t="n">
        <f aca="false">IF(E556="Win",3,IF(E556="Draw",2,1))</f>
        <v>2</v>
      </c>
    </row>
    <row r="557" customFormat="false" ht="14.25" hidden="false" customHeight="false" outlineLevel="0" collapsed="false">
      <c r="A557" s="13" t="n">
        <f aca="false">'Match Results'!A140</f>
        <v>45960</v>
      </c>
      <c r="B557" s="13" t="n">
        <f aca="false">'Match Results'!B557</f>
        <v>0</v>
      </c>
      <c r="C557" s="13" t="n">
        <f aca="false">C553+1</f>
        <v>140</v>
      </c>
      <c r="D557" s="13" t="n">
        <f aca="false">'Match Results'!H140</f>
        <v>0</v>
      </c>
      <c r="E557" s="13" t="str">
        <f aca="false">IF('Match Results'!F244&gt;'Match Results'!E244,"Win",IF('Match Results'!E243='Match Results'!F243,"Draw","Loss"))</f>
        <v>Draw</v>
      </c>
      <c r="F557" s="13" t="n">
        <f aca="false">IF(E557="Win",3,IF(E557="Draw",2,1))</f>
        <v>2</v>
      </c>
    </row>
    <row r="558" customFormat="false" ht="14.25" hidden="false" customHeight="false" outlineLevel="0" collapsed="false">
      <c r="A558" s="13" t="n">
        <f aca="false">'Match Results'!A141</f>
        <v>45960</v>
      </c>
      <c r="B558" s="13" t="n">
        <f aca="false">'Match Results'!B558</f>
        <v>0</v>
      </c>
      <c r="C558" s="13" t="n">
        <f aca="false">C554+1</f>
        <v>141</v>
      </c>
      <c r="D558" s="13" t="n">
        <f aca="false">'Match Results'!C141</f>
        <v>0</v>
      </c>
      <c r="E558" s="13" t="str">
        <f aca="false">IF('Match Results'!F245&gt;'Match Results'!E245,"Win",IF('Match Results'!E244='Match Results'!F244,"Draw","Loss"))</f>
        <v>Draw</v>
      </c>
      <c r="F558" s="13" t="n">
        <f aca="false">IF(E558="Win",3,IF(E558="Draw",2,1))</f>
        <v>2</v>
      </c>
    </row>
    <row r="559" customFormat="false" ht="14.25" hidden="false" customHeight="false" outlineLevel="0" collapsed="false">
      <c r="A559" s="13" t="n">
        <f aca="false">'Match Results'!A141</f>
        <v>45960</v>
      </c>
      <c r="B559" s="13" t="n">
        <f aca="false">'Match Results'!B559</f>
        <v>0</v>
      </c>
      <c r="C559" s="13" t="n">
        <f aca="false">C555+1</f>
        <v>141</v>
      </c>
      <c r="D559" s="13" t="n">
        <f aca="false">'Match Results'!D141</f>
        <v>0</v>
      </c>
      <c r="E559" s="13" t="str">
        <f aca="false">IF('Match Results'!F246&gt;'Match Results'!E246,"Win",IF('Match Results'!E245='Match Results'!F245,"Draw","Loss"))</f>
        <v>Draw</v>
      </c>
      <c r="F559" s="13" t="n">
        <f aca="false">IF(E559="Win",3,IF(E559="Draw",2,1))</f>
        <v>2</v>
      </c>
    </row>
    <row r="560" customFormat="false" ht="14.25" hidden="false" customHeight="false" outlineLevel="0" collapsed="false">
      <c r="A560" s="13" t="n">
        <f aca="false">'Match Results'!A141</f>
        <v>45960</v>
      </c>
      <c r="B560" s="13" t="n">
        <f aca="false">'Match Results'!B560</f>
        <v>0</v>
      </c>
      <c r="C560" s="13" t="n">
        <f aca="false">C556+1</f>
        <v>141</v>
      </c>
      <c r="D560" s="13" t="n">
        <f aca="false">'Match Results'!G141</f>
        <v>0</v>
      </c>
      <c r="E560" s="13" t="str">
        <f aca="false">IF('Match Results'!F247&gt;'Match Results'!E247,"Win",IF('Match Results'!E246='Match Results'!F246,"Draw","Loss"))</f>
        <v>Draw</v>
      </c>
      <c r="F560" s="13" t="n">
        <f aca="false">IF(E560="Win",3,IF(E560="Draw",2,1))</f>
        <v>2</v>
      </c>
    </row>
    <row r="561" customFormat="false" ht="14.25" hidden="false" customHeight="false" outlineLevel="0" collapsed="false">
      <c r="A561" s="13" t="n">
        <f aca="false">'Match Results'!A141</f>
        <v>45960</v>
      </c>
      <c r="B561" s="13" t="n">
        <f aca="false">'Match Results'!B561</f>
        <v>0</v>
      </c>
      <c r="C561" s="13" t="n">
        <f aca="false">C557+1</f>
        <v>141</v>
      </c>
      <c r="D561" s="13" t="n">
        <f aca="false">'Match Results'!H141</f>
        <v>0</v>
      </c>
      <c r="E561" s="13" t="str">
        <f aca="false">IF('Match Results'!F248&gt;'Match Results'!E248,"Win",IF('Match Results'!E247='Match Results'!F247,"Draw","Loss"))</f>
        <v>Draw</v>
      </c>
      <c r="F561" s="13" t="n">
        <f aca="false">IF(E561="Win",3,IF(E561="Draw",2,1))</f>
        <v>2</v>
      </c>
    </row>
    <row r="562" customFormat="false" ht="14.25" hidden="false" customHeight="false" outlineLevel="0" collapsed="false">
      <c r="A562" s="13" t="n">
        <f aca="false">'Match Results'!A142</f>
        <v>45967</v>
      </c>
      <c r="B562" s="13" t="n">
        <f aca="false">'Match Results'!B562</f>
        <v>0</v>
      </c>
      <c r="C562" s="13" t="n">
        <f aca="false">C558+1</f>
        <v>142</v>
      </c>
      <c r="D562" s="13" t="n">
        <f aca="false">'Match Results'!C142</f>
        <v>0</v>
      </c>
      <c r="E562" s="13" t="str">
        <f aca="false">IF('Match Results'!F249&gt;'Match Results'!E249,"Win",IF('Match Results'!E248='Match Results'!F248,"Draw","Loss"))</f>
        <v>Draw</v>
      </c>
      <c r="F562" s="13" t="n">
        <f aca="false">IF(E562="Win",3,IF(E562="Draw",2,1))</f>
        <v>2</v>
      </c>
    </row>
    <row r="563" customFormat="false" ht="14.25" hidden="false" customHeight="false" outlineLevel="0" collapsed="false">
      <c r="A563" s="13" t="n">
        <f aca="false">'Match Results'!A142</f>
        <v>45967</v>
      </c>
      <c r="B563" s="13" t="n">
        <f aca="false">'Match Results'!B563</f>
        <v>0</v>
      </c>
      <c r="C563" s="13" t="n">
        <f aca="false">C559+1</f>
        <v>142</v>
      </c>
      <c r="D563" s="13" t="n">
        <f aca="false">'Match Results'!D142</f>
        <v>0</v>
      </c>
      <c r="E563" s="13" t="str">
        <f aca="false">IF('Match Results'!F250&gt;'Match Results'!E250,"Win",IF('Match Results'!E249='Match Results'!F249,"Draw","Loss"))</f>
        <v>Draw</v>
      </c>
      <c r="F563" s="13" t="n">
        <f aca="false">IF(E563="Win",3,IF(E563="Draw",2,1))</f>
        <v>2</v>
      </c>
    </row>
    <row r="564" customFormat="false" ht="14.25" hidden="false" customHeight="false" outlineLevel="0" collapsed="false">
      <c r="A564" s="13" t="n">
        <f aca="false">'Match Results'!A142</f>
        <v>45967</v>
      </c>
      <c r="B564" s="13" t="n">
        <f aca="false">'Match Results'!B564</f>
        <v>0</v>
      </c>
      <c r="C564" s="13" t="n">
        <f aca="false">C560+1</f>
        <v>142</v>
      </c>
      <c r="D564" s="13" t="n">
        <f aca="false">'Match Results'!G142</f>
        <v>0</v>
      </c>
      <c r="E564" s="13" t="str">
        <f aca="false">IF('Match Results'!F251&gt;'Match Results'!E251,"Win",IF('Match Results'!E250='Match Results'!F250,"Draw","Loss"))</f>
        <v>Draw</v>
      </c>
      <c r="F564" s="13" t="n">
        <f aca="false">IF(E564="Win",3,IF(E564="Draw",2,1))</f>
        <v>2</v>
      </c>
    </row>
    <row r="565" customFormat="false" ht="14.25" hidden="false" customHeight="false" outlineLevel="0" collapsed="false">
      <c r="A565" s="13" t="n">
        <f aca="false">'Match Results'!A142</f>
        <v>45967</v>
      </c>
      <c r="B565" s="13" t="n">
        <f aca="false">'Match Results'!B565</f>
        <v>0</v>
      </c>
      <c r="C565" s="13" t="n">
        <f aca="false">C561+1</f>
        <v>142</v>
      </c>
      <c r="D565" s="13" t="n">
        <f aca="false">'Match Results'!H142</f>
        <v>0</v>
      </c>
      <c r="E565" s="13" t="str">
        <f aca="false">IF('Match Results'!F252&gt;'Match Results'!E252,"Win",IF('Match Results'!E251='Match Results'!F251,"Draw","Loss"))</f>
        <v>Draw</v>
      </c>
      <c r="F565" s="13" t="n">
        <f aca="false">IF(E565="Win",3,IF(E565="Draw",2,1))</f>
        <v>2</v>
      </c>
    </row>
    <row r="566" customFormat="false" ht="14.25" hidden="false" customHeight="false" outlineLevel="0" collapsed="false">
      <c r="A566" s="13" t="n">
        <f aca="false">'Match Results'!A143</f>
        <v>45960</v>
      </c>
      <c r="B566" s="13" t="n">
        <f aca="false">'Match Results'!B566</f>
        <v>0</v>
      </c>
      <c r="C566" s="13" t="n">
        <f aca="false">C562+1</f>
        <v>143</v>
      </c>
      <c r="D566" s="13" t="n">
        <f aca="false">'Match Results'!C143</f>
        <v>0</v>
      </c>
      <c r="E566" s="13" t="str">
        <f aca="false">IF('Match Results'!F253&gt;'Match Results'!E253,"Win",IF('Match Results'!E252='Match Results'!F252,"Draw","Loss"))</f>
        <v>Draw</v>
      </c>
      <c r="F566" s="13" t="n">
        <f aca="false">IF(E566="Win",3,IF(E566="Draw",2,1))</f>
        <v>2</v>
      </c>
    </row>
    <row r="567" customFormat="false" ht="14.25" hidden="false" customHeight="false" outlineLevel="0" collapsed="false">
      <c r="A567" s="13" t="n">
        <f aca="false">'Match Results'!A143</f>
        <v>45960</v>
      </c>
      <c r="B567" s="13" t="n">
        <f aca="false">'Match Results'!B567</f>
        <v>0</v>
      </c>
      <c r="C567" s="13" t="n">
        <f aca="false">C563+1</f>
        <v>143</v>
      </c>
      <c r="D567" s="13" t="n">
        <f aca="false">'Match Results'!D143</f>
        <v>0</v>
      </c>
      <c r="E567" s="13" t="str">
        <f aca="false">IF('Match Results'!F254&gt;'Match Results'!E254,"Win",IF('Match Results'!E253='Match Results'!F253,"Draw","Loss"))</f>
        <v>Draw</v>
      </c>
      <c r="F567" s="13" t="n">
        <f aca="false">IF(E567="Win",3,IF(E567="Draw",2,1))</f>
        <v>2</v>
      </c>
    </row>
    <row r="568" customFormat="false" ht="14.25" hidden="false" customHeight="false" outlineLevel="0" collapsed="false">
      <c r="A568" s="13" t="n">
        <f aca="false">'Match Results'!A143</f>
        <v>45960</v>
      </c>
      <c r="B568" s="13" t="n">
        <f aca="false">'Match Results'!B568</f>
        <v>0</v>
      </c>
      <c r="C568" s="13" t="n">
        <f aca="false">C564+1</f>
        <v>143</v>
      </c>
      <c r="D568" s="13" t="n">
        <f aca="false">'Match Results'!G143</f>
        <v>0</v>
      </c>
      <c r="E568" s="13" t="str">
        <f aca="false">IF('Match Results'!F255&gt;'Match Results'!E255,"Win",IF('Match Results'!E254='Match Results'!F254,"Draw","Loss"))</f>
        <v>Draw</v>
      </c>
      <c r="F568" s="13" t="n">
        <f aca="false">IF(E568="Win",3,IF(E568="Draw",2,1))</f>
        <v>2</v>
      </c>
    </row>
    <row r="569" customFormat="false" ht="14.25" hidden="false" customHeight="false" outlineLevel="0" collapsed="false">
      <c r="A569" s="13" t="n">
        <f aca="false">'Match Results'!A143</f>
        <v>45960</v>
      </c>
      <c r="B569" s="13" t="n">
        <f aca="false">'Match Results'!B569</f>
        <v>0</v>
      </c>
      <c r="C569" s="13" t="n">
        <f aca="false">C565+1</f>
        <v>143</v>
      </c>
      <c r="D569" s="13" t="n">
        <f aca="false">'Match Results'!H143</f>
        <v>0</v>
      </c>
      <c r="E569" s="13" t="str">
        <f aca="false">IF('Match Results'!F256&gt;'Match Results'!E256,"Win",IF('Match Results'!E255='Match Results'!F255,"Draw","Loss"))</f>
        <v>Draw</v>
      </c>
      <c r="F569" s="13" t="n">
        <f aca="false">IF(E569="Win",3,IF(E569="Draw",2,1))</f>
        <v>2</v>
      </c>
    </row>
    <row r="570" customFormat="false" ht="14.25" hidden="false" customHeight="false" outlineLevel="0" collapsed="false">
      <c r="A570" s="13" t="n">
        <f aca="false">'Match Results'!A144</f>
        <v>45960</v>
      </c>
      <c r="B570" s="13" t="n">
        <f aca="false">'Match Results'!B570</f>
        <v>0</v>
      </c>
      <c r="C570" s="13" t="n">
        <f aca="false">C566+1</f>
        <v>144</v>
      </c>
      <c r="D570" s="13" t="n">
        <f aca="false">'Match Results'!C144</f>
        <v>0</v>
      </c>
      <c r="E570" s="13" t="str">
        <f aca="false">IF('Match Results'!F257&gt;'Match Results'!E257,"Win",IF('Match Results'!E256='Match Results'!F256,"Draw","Loss"))</f>
        <v>Draw</v>
      </c>
      <c r="F570" s="13" t="n">
        <f aca="false">IF(E570="Win",3,IF(E570="Draw",2,1))</f>
        <v>2</v>
      </c>
    </row>
    <row r="571" customFormat="false" ht="14.25" hidden="false" customHeight="false" outlineLevel="0" collapsed="false">
      <c r="A571" s="13" t="n">
        <f aca="false">'Match Results'!A144</f>
        <v>45960</v>
      </c>
      <c r="B571" s="13" t="n">
        <f aca="false">'Match Results'!B571</f>
        <v>0</v>
      </c>
      <c r="C571" s="13" t="n">
        <f aca="false">C567+1</f>
        <v>144</v>
      </c>
      <c r="D571" s="13" t="n">
        <f aca="false">'Match Results'!D144</f>
        <v>0</v>
      </c>
      <c r="E571" s="13" t="str">
        <f aca="false">IF('Match Results'!F258&gt;'Match Results'!E258,"Win",IF('Match Results'!E257='Match Results'!F257,"Draw","Loss"))</f>
        <v>Draw</v>
      </c>
      <c r="F571" s="13" t="n">
        <f aca="false">IF(E571="Win",3,IF(E571="Draw",2,1))</f>
        <v>2</v>
      </c>
    </row>
    <row r="572" customFormat="false" ht="14.25" hidden="false" customHeight="false" outlineLevel="0" collapsed="false">
      <c r="A572" s="13" t="n">
        <f aca="false">'Match Results'!A144</f>
        <v>45960</v>
      </c>
      <c r="B572" s="13" t="n">
        <f aca="false">'Match Results'!B572</f>
        <v>0</v>
      </c>
      <c r="C572" s="13" t="n">
        <f aca="false">C568+1</f>
        <v>144</v>
      </c>
      <c r="D572" s="13" t="n">
        <f aca="false">'Match Results'!G144</f>
        <v>0</v>
      </c>
      <c r="E572" s="13" t="str">
        <f aca="false">IF('Match Results'!F259&gt;'Match Results'!E259,"Win",IF('Match Results'!E258='Match Results'!F258,"Draw","Loss"))</f>
        <v>Draw</v>
      </c>
      <c r="F572" s="13" t="n">
        <f aca="false">IF(E572="Win",3,IF(E572="Draw",2,1))</f>
        <v>2</v>
      </c>
    </row>
    <row r="573" customFormat="false" ht="14.25" hidden="false" customHeight="false" outlineLevel="0" collapsed="false">
      <c r="A573" s="13" t="n">
        <f aca="false">'Match Results'!A144</f>
        <v>45960</v>
      </c>
      <c r="B573" s="13" t="n">
        <f aca="false">'Match Results'!B573</f>
        <v>0</v>
      </c>
      <c r="C573" s="13" t="n">
        <f aca="false">C569+1</f>
        <v>144</v>
      </c>
      <c r="D573" s="13" t="n">
        <f aca="false">'Match Results'!H144</f>
        <v>0</v>
      </c>
      <c r="E573" s="13" t="str">
        <f aca="false">IF('Match Results'!F260&gt;'Match Results'!E260,"Win",IF('Match Results'!E259='Match Results'!F259,"Draw","Loss"))</f>
        <v>Draw</v>
      </c>
      <c r="F573" s="13" t="n">
        <f aca="false">IF(E573="Win",3,IF(E573="Draw",2,1))</f>
        <v>2</v>
      </c>
    </row>
    <row r="574" customFormat="false" ht="14.25" hidden="false" customHeight="false" outlineLevel="0" collapsed="false">
      <c r="A574" s="13" t="n">
        <f aca="false">'Match Results'!A145</f>
        <v>45960</v>
      </c>
      <c r="B574" s="13" t="n">
        <f aca="false">'Match Results'!B574</f>
        <v>0</v>
      </c>
      <c r="C574" s="13" t="n">
        <f aca="false">C570+1</f>
        <v>145</v>
      </c>
      <c r="D574" s="13" t="n">
        <f aca="false">'Match Results'!C145</f>
        <v>0</v>
      </c>
      <c r="E574" s="13" t="str">
        <f aca="false">IF('Match Results'!F261&gt;'Match Results'!E261,"Win",IF('Match Results'!E260='Match Results'!F260,"Draw","Loss"))</f>
        <v>Draw</v>
      </c>
      <c r="F574" s="13" t="n">
        <f aca="false">IF(E574="Win",3,IF(E574="Draw",2,1))</f>
        <v>2</v>
      </c>
    </row>
    <row r="575" customFormat="false" ht="14.25" hidden="false" customHeight="false" outlineLevel="0" collapsed="false">
      <c r="A575" s="13" t="n">
        <f aca="false">'Match Results'!A145</f>
        <v>45960</v>
      </c>
      <c r="B575" s="13" t="n">
        <f aca="false">'Match Results'!B575</f>
        <v>0</v>
      </c>
      <c r="C575" s="13" t="n">
        <f aca="false">C571+1</f>
        <v>145</v>
      </c>
      <c r="D575" s="13" t="n">
        <f aca="false">'Match Results'!D145</f>
        <v>0</v>
      </c>
      <c r="E575" s="13" t="str">
        <f aca="false">IF('Match Results'!F262&gt;'Match Results'!E262,"Win",IF('Match Results'!E261='Match Results'!F261,"Draw","Loss"))</f>
        <v>Draw</v>
      </c>
      <c r="F575" s="13" t="n">
        <f aca="false">IF(E575="Win",3,IF(E575="Draw",2,1))</f>
        <v>2</v>
      </c>
    </row>
    <row r="576" customFormat="false" ht="14.25" hidden="false" customHeight="false" outlineLevel="0" collapsed="false">
      <c r="A576" s="13" t="n">
        <f aca="false">'Match Results'!A145</f>
        <v>45960</v>
      </c>
      <c r="B576" s="13" t="n">
        <f aca="false">'Match Results'!B576</f>
        <v>0</v>
      </c>
      <c r="C576" s="13" t="n">
        <f aca="false">C572+1</f>
        <v>145</v>
      </c>
      <c r="D576" s="13" t="n">
        <f aca="false">'Match Results'!G145</f>
        <v>0</v>
      </c>
      <c r="E576" s="13" t="str">
        <f aca="false">IF('Match Results'!F263&gt;'Match Results'!E263,"Win",IF('Match Results'!E262='Match Results'!F262,"Draw","Loss"))</f>
        <v>Draw</v>
      </c>
      <c r="F576" s="13" t="n">
        <f aca="false">IF(E576="Win",3,IF(E576="Draw",2,1))</f>
        <v>2</v>
      </c>
    </row>
    <row r="577" customFormat="false" ht="14.25" hidden="false" customHeight="false" outlineLevel="0" collapsed="false">
      <c r="A577" s="13" t="n">
        <f aca="false">'Match Results'!A145</f>
        <v>45960</v>
      </c>
      <c r="B577" s="13" t="n">
        <f aca="false">'Match Results'!B577</f>
        <v>0</v>
      </c>
      <c r="C577" s="13" t="n">
        <f aca="false">C573+1</f>
        <v>145</v>
      </c>
      <c r="D577" s="13" t="n">
        <f aca="false">'Match Results'!H145</f>
        <v>0</v>
      </c>
      <c r="E577" s="13" t="str">
        <f aca="false">IF('Match Results'!F264&gt;'Match Results'!E264,"Win",IF('Match Results'!E263='Match Results'!F263,"Draw","Loss"))</f>
        <v>Draw</v>
      </c>
      <c r="F577" s="13" t="n">
        <f aca="false">IF(E577="Win",3,IF(E577="Draw",2,1))</f>
        <v>2</v>
      </c>
    </row>
    <row r="578" customFormat="false" ht="14.25" hidden="false" customHeight="false" outlineLevel="0" collapsed="false">
      <c r="A578" s="13" t="n">
        <f aca="false">'Match Results'!A146</f>
        <v>45960</v>
      </c>
      <c r="B578" s="13" t="n">
        <f aca="false">'Match Results'!B578</f>
        <v>0</v>
      </c>
      <c r="C578" s="13" t="n">
        <f aca="false">C574+1</f>
        <v>146</v>
      </c>
      <c r="D578" s="13" t="n">
        <f aca="false">'Match Results'!C146</f>
        <v>0</v>
      </c>
      <c r="E578" s="13" t="str">
        <f aca="false">IF('Match Results'!F265&gt;'Match Results'!E265,"Win",IF('Match Results'!E264='Match Results'!F264,"Draw","Loss"))</f>
        <v>Draw</v>
      </c>
      <c r="F578" s="13" t="n">
        <f aca="false">IF(E578="Win",3,IF(E578="Draw",2,1))</f>
        <v>2</v>
      </c>
    </row>
    <row r="579" customFormat="false" ht="14.25" hidden="false" customHeight="false" outlineLevel="0" collapsed="false">
      <c r="A579" s="13" t="n">
        <f aca="false">'Match Results'!A146</f>
        <v>45960</v>
      </c>
      <c r="B579" s="13" t="n">
        <f aca="false">'Match Results'!B579</f>
        <v>0</v>
      </c>
      <c r="C579" s="13" t="n">
        <f aca="false">C575+1</f>
        <v>146</v>
      </c>
      <c r="D579" s="13" t="n">
        <f aca="false">'Match Results'!D146</f>
        <v>0</v>
      </c>
      <c r="E579" s="13" t="str">
        <f aca="false">IF('Match Results'!F266&gt;'Match Results'!E266,"Win",IF('Match Results'!E265='Match Results'!F265,"Draw","Loss"))</f>
        <v>Draw</v>
      </c>
      <c r="F579" s="13" t="n">
        <f aca="false">IF(E579="Win",3,IF(E579="Draw",2,1))</f>
        <v>2</v>
      </c>
    </row>
    <row r="580" customFormat="false" ht="14.25" hidden="false" customHeight="false" outlineLevel="0" collapsed="false">
      <c r="A580" s="13" t="n">
        <f aca="false">'Match Results'!A146</f>
        <v>45960</v>
      </c>
      <c r="B580" s="13" t="n">
        <f aca="false">'Match Results'!B580</f>
        <v>0</v>
      </c>
      <c r="C580" s="13" t="n">
        <f aca="false">C576+1</f>
        <v>146</v>
      </c>
      <c r="D580" s="13" t="n">
        <f aca="false">'Match Results'!G146</f>
        <v>0</v>
      </c>
      <c r="E580" s="13" t="str">
        <f aca="false">IF('Match Results'!F267&gt;'Match Results'!E267,"Win",IF('Match Results'!E266='Match Results'!F266,"Draw","Loss"))</f>
        <v>Draw</v>
      </c>
      <c r="F580" s="13" t="n">
        <f aca="false">IF(E580="Win",3,IF(E580="Draw",2,1))</f>
        <v>2</v>
      </c>
    </row>
    <row r="581" customFormat="false" ht="14.25" hidden="false" customHeight="false" outlineLevel="0" collapsed="false">
      <c r="A581" s="13" t="n">
        <f aca="false">'Match Results'!A146</f>
        <v>45960</v>
      </c>
      <c r="B581" s="13" t="n">
        <f aca="false">'Match Results'!B581</f>
        <v>0</v>
      </c>
      <c r="C581" s="13" t="n">
        <f aca="false">C577+1</f>
        <v>146</v>
      </c>
      <c r="D581" s="13" t="n">
        <f aca="false">'Match Results'!H146</f>
        <v>0</v>
      </c>
      <c r="E581" s="13" t="str">
        <f aca="false">IF('Match Results'!F268&gt;'Match Results'!E268,"Win",IF('Match Results'!E267='Match Results'!F267,"Draw","Loss"))</f>
        <v>Draw</v>
      </c>
      <c r="F581" s="13" t="n">
        <f aca="false">IF(E581="Win",3,IF(E581="Draw",2,1))</f>
        <v>2</v>
      </c>
    </row>
    <row r="582" customFormat="false" ht="14.25" hidden="false" customHeight="false" outlineLevel="0" collapsed="false">
      <c r="A582" s="13" t="n">
        <f aca="false">'Match Results'!A147</f>
        <v>45960</v>
      </c>
      <c r="B582" s="13" t="n">
        <f aca="false">'Match Results'!B582</f>
        <v>0</v>
      </c>
      <c r="C582" s="13" t="n">
        <f aca="false">C578+1</f>
        <v>147</v>
      </c>
      <c r="D582" s="13" t="n">
        <f aca="false">'Match Results'!C147</f>
        <v>0</v>
      </c>
      <c r="E582" s="13" t="str">
        <f aca="false">IF('Match Results'!F269&gt;'Match Results'!E269,"Win",IF('Match Results'!E268='Match Results'!F268,"Draw","Loss"))</f>
        <v>Draw</v>
      </c>
      <c r="F582" s="13" t="n">
        <f aca="false">IF(E582="Win",3,IF(E582="Draw",2,1))</f>
        <v>2</v>
      </c>
    </row>
    <row r="583" customFormat="false" ht="14.25" hidden="false" customHeight="false" outlineLevel="0" collapsed="false">
      <c r="A583" s="13" t="n">
        <f aca="false">'Match Results'!A147</f>
        <v>45960</v>
      </c>
      <c r="B583" s="13" t="n">
        <f aca="false">'Match Results'!B583</f>
        <v>0</v>
      </c>
      <c r="C583" s="13" t="n">
        <f aca="false">C579+1</f>
        <v>147</v>
      </c>
      <c r="D583" s="13" t="n">
        <f aca="false">'Match Results'!D147</f>
        <v>0</v>
      </c>
      <c r="E583" s="13" t="str">
        <f aca="false">IF('Match Results'!F270&gt;'Match Results'!E270,"Win",IF('Match Results'!E269='Match Results'!F269,"Draw","Loss"))</f>
        <v>Draw</v>
      </c>
      <c r="F583" s="13" t="n">
        <f aca="false">IF(E583="Win",3,IF(E583="Draw",2,1))</f>
        <v>2</v>
      </c>
    </row>
    <row r="584" customFormat="false" ht="14.25" hidden="false" customHeight="false" outlineLevel="0" collapsed="false">
      <c r="A584" s="13" t="n">
        <f aca="false">'Match Results'!A147</f>
        <v>45960</v>
      </c>
      <c r="B584" s="13" t="n">
        <f aca="false">'Match Results'!B584</f>
        <v>0</v>
      </c>
      <c r="C584" s="13" t="n">
        <f aca="false">C580+1</f>
        <v>147</v>
      </c>
      <c r="D584" s="13" t="n">
        <f aca="false">'Match Results'!G147</f>
        <v>0</v>
      </c>
      <c r="E584" s="13" t="str">
        <f aca="false">IF('Match Results'!F271&gt;'Match Results'!E271,"Win",IF('Match Results'!E270='Match Results'!F270,"Draw","Loss"))</f>
        <v>Draw</v>
      </c>
      <c r="F584" s="13" t="n">
        <f aca="false">IF(E584="Win",3,IF(E584="Draw",2,1))</f>
        <v>2</v>
      </c>
    </row>
    <row r="585" customFormat="false" ht="14.25" hidden="false" customHeight="false" outlineLevel="0" collapsed="false">
      <c r="A585" s="13" t="n">
        <f aca="false">'Match Results'!A147</f>
        <v>45960</v>
      </c>
      <c r="B585" s="13" t="n">
        <f aca="false">'Match Results'!B585</f>
        <v>0</v>
      </c>
      <c r="C585" s="13" t="n">
        <f aca="false">C581+1</f>
        <v>147</v>
      </c>
      <c r="D585" s="13" t="n">
        <f aca="false">'Match Results'!H147</f>
        <v>0</v>
      </c>
      <c r="E585" s="13" t="str">
        <f aca="false">IF('Match Results'!F272&gt;'Match Results'!E272,"Win",IF('Match Results'!E271='Match Results'!F271,"Draw","Loss"))</f>
        <v>Draw</v>
      </c>
      <c r="F585" s="13" t="n">
        <f aca="false">IF(E585="Win",3,IF(E585="Draw",2,1))</f>
        <v>2</v>
      </c>
    </row>
    <row r="586" customFormat="false" ht="14.25" hidden="false" customHeight="false" outlineLevel="0" collapsed="false">
      <c r="A586" s="13" t="n">
        <f aca="false">'Match Results'!A148</f>
        <v>45960</v>
      </c>
      <c r="B586" s="13" t="n">
        <f aca="false">'Match Results'!B586</f>
        <v>0</v>
      </c>
      <c r="C586" s="13" t="n">
        <f aca="false">C582+1</f>
        <v>148</v>
      </c>
      <c r="D586" s="13" t="n">
        <f aca="false">'Match Results'!C148</f>
        <v>0</v>
      </c>
      <c r="E586" s="13" t="str">
        <f aca="false">IF('Match Results'!F273&gt;'Match Results'!E273,"Win",IF('Match Results'!E272='Match Results'!F272,"Draw","Loss"))</f>
        <v>Draw</v>
      </c>
      <c r="F586" s="13" t="n">
        <f aca="false">IF(E586="Win",3,IF(E586="Draw",2,1))</f>
        <v>2</v>
      </c>
    </row>
    <row r="587" customFormat="false" ht="14.25" hidden="false" customHeight="false" outlineLevel="0" collapsed="false">
      <c r="A587" s="13" t="n">
        <f aca="false">'Match Results'!A148</f>
        <v>45960</v>
      </c>
      <c r="B587" s="13" t="n">
        <f aca="false">'Match Results'!B587</f>
        <v>0</v>
      </c>
      <c r="C587" s="13" t="n">
        <f aca="false">C583+1</f>
        <v>148</v>
      </c>
      <c r="D587" s="13" t="n">
        <f aca="false">'Match Results'!D148</f>
        <v>0</v>
      </c>
      <c r="E587" s="13" t="str">
        <f aca="false">IF('Match Results'!F274&gt;'Match Results'!E274,"Win",IF('Match Results'!E273='Match Results'!F273,"Draw","Loss"))</f>
        <v>Draw</v>
      </c>
      <c r="F587" s="13" t="n">
        <f aca="false">IF(E587="Win",3,IF(E587="Draw",2,1))</f>
        <v>2</v>
      </c>
    </row>
    <row r="588" customFormat="false" ht="14.25" hidden="false" customHeight="false" outlineLevel="0" collapsed="false">
      <c r="A588" s="13" t="n">
        <f aca="false">'Match Results'!A148</f>
        <v>45960</v>
      </c>
      <c r="B588" s="13" t="n">
        <f aca="false">'Match Results'!B588</f>
        <v>0</v>
      </c>
      <c r="C588" s="13" t="n">
        <f aca="false">C584+1</f>
        <v>148</v>
      </c>
      <c r="D588" s="13" t="n">
        <f aca="false">'Match Results'!G148</f>
        <v>0</v>
      </c>
      <c r="E588" s="13" t="str">
        <f aca="false">IF('Match Results'!F275&gt;'Match Results'!E275,"Win",IF('Match Results'!E274='Match Results'!F274,"Draw","Loss"))</f>
        <v>Draw</v>
      </c>
      <c r="F588" s="13" t="n">
        <f aca="false">IF(E588="Win",3,IF(E588="Draw",2,1))</f>
        <v>2</v>
      </c>
    </row>
    <row r="589" customFormat="false" ht="14.25" hidden="false" customHeight="false" outlineLevel="0" collapsed="false">
      <c r="A589" s="13" t="n">
        <f aca="false">'Match Results'!A148</f>
        <v>45960</v>
      </c>
      <c r="B589" s="13" t="n">
        <f aca="false">'Match Results'!B589</f>
        <v>0</v>
      </c>
      <c r="C589" s="13" t="n">
        <f aca="false">C585+1</f>
        <v>148</v>
      </c>
      <c r="D589" s="13" t="n">
        <f aca="false">'Match Results'!H148</f>
        <v>0</v>
      </c>
      <c r="E589" s="13" t="str">
        <f aca="false">IF('Match Results'!F276&gt;'Match Results'!E276,"Win",IF('Match Results'!E275='Match Results'!F275,"Draw","Loss"))</f>
        <v>Draw</v>
      </c>
      <c r="F589" s="13" t="n">
        <f aca="false">IF(E589="Win",3,IF(E589="Draw",2,1))</f>
        <v>2</v>
      </c>
    </row>
    <row r="590" customFormat="false" ht="14.25" hidden="false" customHeight="false" outlineLevel="0" collapsed="false">
      <c r="A590" s="13" t="n">
        <f aca="false">'Match Results'!A149</f>
        <v>45960</v>
      </c>
      <c r="B590" s="13" t="n">
        <f aca="false">'Match Results'!B590</f>
        <v>0</v>
      </c>
      <c r="C590" s="13" t="n">
        <f aca="false">C586+1</f>
        <v>149</v>
      </c>
      <c r="D590" s="13" t="n">
        <f aca="false">'Match Results'!C149</f>
        <v>0</v>
      </c>
      <c r="E590" s="13" t="str">
        <f aca="false">IF('Match Results'!F277&gt;'Match Results'!E277,"Win",IF('Match Results'!E276='Match Results'!F276,"Draw","Loss"))</f>
        <v>Draw</v>
      </c>
      <c r="F590" s="13" t="n">
        <f aca="false">IF(E590="Win",3,IF(E590="Draw",2,1))</f>
        <v>2</v>
      </c>
    </row>
    <row r="591" customFormat="false" ht="14.25" hidden="false" customHeight="false" outlineLevel="0" collapsed="false">
      <c r="A591" s="13" t="n">
        <f aca="false">'Match Results'!A149</f>
        <v>45960</v>
      </c>
      <c r="B591" s="13" t="n">
        <f aca="false">'Match Results'!B591</f>
        <v>0</v>
      </c>
      <c r="C591" s="13" t="n">
        <f aca="false">C587+1</f>
        <v>149</v>
      </c>
      <c r="D591" s="13" t="n">
        <f aca="false">'Match Results'!D149</f>
        <v>0</v>
      </c>
      <c r="E591" s="13" t="str">
        <f aca="false">IF('Match Results'!F278&gt;'Match Results'!E278,"Win",IF('Match Results'!E277='Match Results'!F277,"Draw","Loss"))</f>
        <v>Draw</v>
      </c>
      <c r="F591" s="13" t="n">
        <f aca="false">IF(E591="Win",3,IF(E591="Draw",2,1))</f>
        <v>2</v>
      </c>
    </row>
    <row r="592" customFormat="false" ht="14.25" hidden="false" customHeight="false" outlineLevel="0" collapsed="false">
      <c r="A592" s="13" t="n">
        <f aca="false">'Match Results'!A149</f>
        <v>45960</v>
      </c>
      <c r="B592" s="13" t="n">
        <f aca="false">'Match Results'!B592</f>
        <v>0</v>
      </c>
      <c r="C592" s="13" t="n">
        <f aca="false">C588+1</f>
        <v>149</v>
      </c>
      <c r="D592" s="13" t="n">
        <f aca="false">'Match Results'!G149</f>
        <v>0</v>
      </c>
      <c r="E592" s="13" t="str">
        <f aca="false">IF('Match Results'!F279&gt;'Match Results'!E279,"Win",IF('Match Results'!E278='Match Results'!F278,"Draw","Loss"))</f>
        <v>Draw</v>
      </c>
      <c r="F592" s="13" t="n">
        <f aca="false">IF(E592="Win",3,IF(E592="Draw",2,1))</f>
        <v>2</v>
      </c>
    </row>
    <row r="593" customFormat="false" ht="14.25" hidden="false" customHeight="false" outlineLevel="0" collapsed="false">
      <c r="A593" s="13" t="n">
        <f aca="false">'Match Results'!A149</f>
        <v>45960</v>
      </c>
      <c r="B593" s="13" t="n">
        <f aca="false">'Match Results'!B593</f>
        <v>0</v>
      </c>
      <c r="C593" s="13" t="n">
        <f aca="false">C589+1</f>
        <v>149</v>
      </c>
      <c r="D593" s="13" t="n">
        <f aca="false">'Match Results'!H149</f>
        <v>0</v>
      </c>
      <c r="E593" s="13" t="str">
        <f aca="false">IF('Match Results'!F280&gt;'Match Results'!E280,"Win",IF('Match Results'!E279='Match Results'!F279,"Draw","Loss"))</f>
        <v>Draw</v>
      </c>
      <c r="F593" s="13" t="n">
        <f aca="false">IF(E593="Win",3,IF(E593="Draw",2,1))</f>
        <v>2</v>
      </c>
    </row>
    <row r="594" customFormat="false" ht="14.25" hidden="false" customHeight="false" outlineLevel="0" collapsed="false">
      <c r="A594" s="13" t="n">
        <f aca="false">'Match Results'!A150</f>
        <v>45960</v>
      </c>
      <c r="B594" s="13" t="n">
        <f aca="false">'Match Results'!B594</f>
        <v>0</v>
      </c>
      <c r="C594" s="13" t="n">
        <f aca="false">C590+1</f>
        <v>150</v>
      </c>
      <c r="D594" s="13" t="n">
        <f aca="false">'Match Results'!C150</f>
        <v>0</v>
      </c>
      <c r="E594" s="13" t="str">
        <f aca="false">IF('Match Results'!F281&gt;'Match Results'!E281,"Win",IF('Match Results'!E280='Match Results'!F280,"Draw","Loss"))</f>
        <v>Draw</v>
      </c>
      <c r="F594" s="13" t="n">
        <f aca="false">IF(E594="Win",3,IF(E594="Draw",2,1))</f>
        <v>2</v>
      </c>
    </row>
    <row r="595" customFormat="false" ht="14.25" hidden="false" customHeight="false" outlineLevel="0" collapsed="false">
      <c r="A595" s="13" t="n">
        <f aca="false">'Match Results'!A150</f>
        <v>45960</v>
      </c>
      <c r="B595" s="13" t="n">
        <f aca="false">'Match Results'!B595</f>
        <v>0</v>
      </c>
      <c r="C595" s="13" t="n">
        <f aca="false">C591+1</f>
        <v>150</v>
      </c>
      <c r="D595" s="13" t="n">
        <f aca="false">'Match Results'!D150</f>
        <v>0</v>
      </c>
      <c r="E595" s="13" t="str">
        <f aca="false">IF('Match Results'!F282&gt;'Match Results'!E282,"Win",IF('Match Results'!E281='Match Results'!F281,"Draw","Loss"))</f>
        <v>Draw</v>
      </c>
      <c r="F595" s="13" t="n">
        <f aca="false">IF(E595="Win",3,IF(E595="Draw",2,1))</f>
        <v>2</v>
      </c>
    </row>
    <row r="596" customFormat="false" ht="14.25" hidden="false" customHeight="false" outlineLevel="0" collapsed="false">
      <c r="A596" s="13" t="n">
        <f aca="false">'Match Results'!A150</f>
        <v>45960</v>
      </c>
      <c r="B596" s="13" t="n">
        <f aca="false">'Match Results'!B596</f>
        <v>0</v>
      </c>
      <c r="C596" s="13" t="n">
        <f aca="false">C592+1</f>
        <v>150</v>
      </c>
      <c r="D596" s="13" t="n">
        <f aca="false">'Match Results'!G150</f>
        <v>0</v>
      </c>
      <c r="E596" s="13" t="str">
        <f aca="false">IF('Match Results'!F283&gt;'Match Results'!E283,"Win",IF('Match Results'!E282='Match Results'!F282,"Draw","Loss"))</f>
        <v>Draw</v>
      </c>
      <c r="F596" s="13" t="n">
        <f aca="false">IF(E596="Win",3,IF(E596="Draw",2,1))</f>
        <v>2</v>
      </c>
    </row>
    <row r="597" customFormat="false" ht="14.25" hidden="false" customHeight="false" outlineLevel="0" collapsed="false">
      <c r="A597" s="13" t="n">
        <f aca="false">'Match Results'!A150</f>
        <v>45960</v>
      </c>
      <c r="B597" s="13" t="n">
        <f aca="false">'Match Results'!B597</f>
        <v>0</v>
      </c>
      <c r="C597" s="13" t="n">
        <f aca="false">C593+1</f>
        <v>150</v>
      </c>
      <c r="D597" s="13" t="n">
        <f aca="false">'Match Results'!H150</f>
        <v>0</v>
      </c>
      <c r="E597" s="13" t="str">
        <f aca="false">IF('Match Results'!F284&gt;'Match Results'!E284,"Win",IF('Match Results'!E283='Match Results'!F283,"Draw","Loss"))</f>
        <v>Draw</v>
      </c>
      <c r="F597" s="13" t="n">
        <f aca="false">IF(E597="Win",3,IF(E597="Draw",2,1))</f>
        <v>2</v>
      </c>
    </row>
    <row r="598" customFormat="false" ht="14.25" hidden="false" customHeight="false" outlineLevel="0" collapsed="false">
      <c r="A598" s="13" t="n">
        <f aca="false">'Match Results'!A151</f>
        <v>45960</v>
      </c>
      <c r="B598" s="13" t="n">
        <f aca="false">'Match Results'!B598</f>
        <v>0</v>
      </c>
      <c r="C598" s="13" t="n">
        <f aca="false">C594+1</f>
        <v>151</v>
      </c>
      <c r="D598" s="13" t="n">
        <f aca="false">'Match Results'!C151</f>
        <v>0</v>
      </c>
      <c r="E598" s="13" t="str">
        <f aca="false">IF('Match Results'!F285&gt;'Match Results'!E285,"Win",IF('Match Results'!E284='Match Results'!F284,"Draw","Loss"))</f>
        <v>Draw</v>
      </c>
      <c r="F598" s="13" t="n">
        <f aca="false">IF(E598="Win",3,IF(E598="Draw",2,1))</f>
        <v>2</v>
      </c>
    </row>
    <row r="599" customFormat="false" ht="14.25" hidden="false" customHeight="false" outlineLevel="0" collapsed="false">
      <c r="A599" s="13" t="n">
        <f aca="false">'Match Results'!A151</f>
        <v>45960</v>
      </c>
      <c r="B599" s="13" t="n">
        <f aca="false">'Match Results'!B599</f>
        <v>0</v>
      </c>
      <c r="C599" s="13" t="n">
        <f aca="false">C595+1</f>
        <v>151</v>
      </c>
      <c r="D599" s="13" t="n">
        <f aca="false">'Match Results'!D151</f>
        <v>0</v>
      </c>
      <c r="E599" s="13" t="str">
        <f aca="false">IF('Match Results'!F286&gt;'Match Results'!E286,"Win",IF('Match Results'!E285='Match Results'!F285,"Draw","Loss"))</f>
        <v>Draw</v>
      </c>
      <c r="F599" s="13" t="n">
        <f aca="false">IF(E599="Win",3,IF(E599="Draw",2,1))</f>
        <v>2</v>
      </c>
    </row>
    <row r="600" customFormat="false" ht="14.25" hidden="false" customHeight="false" outlineLevel="0" collapsed="false">
      <c r="A600" s="13" t="n">
        <f aca="false">'Match Results'!A151</f>
        <v>45960</v>
      </c>
      <c r="B600" s="13" t="n">
        <f aca="false">'Match Results'!B600</f>
        <v>0</v>
      </c>
      <c r="C600" s="13" t="n">
        <f aca="false">C596+1</f>
        <v>151</v>
      </c>
      <c r="D600" s="13" t="n">
        <f aca="false">'Match Results'!G151</f>
        <v>0</v>
      </c>
      <c r="E600" s="13" t="str">
        <f aca="false">IF('Match Results'!F287&gt;'Match Results'!E287,"Win",IF('Match Results'!E286='Match Results'!F286,"Draw","Loss"))</f>
        <v>Draw</v>
      </c>
      <c r="F600" s="13" t="n">
        <f aca="false">IF(E600="Win",3,IF(E600="Draw",2,1))</f>
        <v>2</v>
      </c>
    </row>
    <row r="601" customFormat="false" ht="14.25" hidden="false" customHeight="false" outlineLevel="0" collapsed="false">
      <c r="A601" s="13" t="n">
        <f aca="false">'Match Results'!A151</f>
        <v>45960</v>
      </c>
      <c r="B601" s="13" t="n">
        <f aca="false">'Match Results'!B601</f>
        <v>0</v>
      </c>
      <c r="C601" s="13" t="n">
        <f aca="false">C597+1</f>
        <v>151</v>
      </c>
      <c r="D601" s="13" t="n">
        <f aca="false">'Match Results'!H151</f>
        <v>0</v>
      </c>
      <c r="E601" s="13" t="str">
        <f aca="false">IF('Match Results'!F288&gt;'Match Results'!E288,"Win",IF('Match Results'!E287='Match Results'!F287,"Draw","Loss"))</f>
        <v>Draw</v>
      </c>
      <c r="F601" s="13" t="n">
        <f aca="false">IF(E601="Win",3,IF(E601="Draw",2,1))</f>
        <v>2</v>
      </c>
    </row>
    <row r="602" customFormat="false" ht="14.25" hidden="false" customHeight="false" outlineLevel="0" collapsed="false">
      <c r="A602" s="13" t="n">
        <f aca="false">'Match Results'!A152</f>
        <v>45960</v>
      </c>
      <c r="B602" s="13" t="n">
        <f aca="false">'Match Results'!B602</f>
        <v>0</v>
      </c>
      <c r="C602" s="13" t="n">
        <f aca="false">C598+1</f>
        <v>152</v>
      </c>
      <c r="D602" s="13" t="n">
        <f aca="false">'Match Results'!C152</f>
        <v>0</v>
      </c>
      <c r="E602" s="13" t="str">
        <f aca="false">IF('Match Results'!F289&gt;'Match Results'!E289,"Win",IF('Match Results'!E288='Match Results'!F288,"Draw","Loss"))</f>
        <v>Draw</v>
      </c>
      <c r="F602" s="13" t="n">
        <f aca="false">IF(E602="Win",3,IF(E602="Draw",2,1))</f>
        <v>2</v>
      </c>
    </row>
    <row r="603" customFormat="false" ht="14.25" hidden="false" customHeight="false" outlineLevel="0" collapsed="false">
      <c r="A603" s="13" t="n">
        <f aca="false">'Match Results'!A152</f>
        <v>45960</v>
      </c>
      <c r="B603" s="13" t="n">
        <f aca="false">'Match Results'!B603</f>
        <v>0</v>
      </c>
      <c r="C603" s="13" t="n">
        <f aca="false">C599+1</f>
        <v>152</v>
      </c>
      <c r="D603" s="13" t="n">
        <f aca="false">'Match Results'!D152</f>
        <v>0</v>
      </c>
      <c r="E603" s="13" t="str">
        <f aca="false">IF('Match Results'!F290&gt;'Match Results'!E290,"Win",IF('Match Results'!E289='Match Results'!F289,"Draw","Loss"))</f>
        <v>Draw</v>
      </c>
      <c r="F603" s="13" t="n">
        <f aca="false">IF(E603="Win",3,IF(E603="Draw",2,1))</f>
        <v>2</v>
      </c>
    </row>
    <row r="604" customFormat="false" ht="14.25" hidden="false" customHeight="false" outlineLevel="0" collapsed="false">
      <c r="A604" s="13" t="n">
        <f aca="false">'Match Results'!A152</f>
        <v>45960</v>
      </c>
      <c r="B604" s="13" t="n">
        <f aca="false">'Match Results'!B604</f>
        <v>0</v>
      </c>
      <c r="C604" s="13" t="n">
        <f aca="false">C600+1</f>
        <v>152</v>
      </c>
      <c r="D604" s="13" t="n">
        <f aca="false">'Match Results'!G152</f>
        <v>0</v>
      </c>
      <c r="E604" s="13" t="str">
        <f aca="false">IF('Match Results'!F291&gt;'Match Results'!E291,"Win",IF('Match Results'!E290='Match Results'!F290,"Draw","Loss"))</f>
        <v>Draw</v>
      </c>
      <c r="F604" s="13" t="n">
        <f aca="false">IF(E604="Win",3,IF(E604="Draw",2,1))</f>
        <v>2</v>
      </c>
    </row>
    <row r="605" customFormat="false" ht="14.25" hidden="false" customHeight="false" outlineLevel="0" collapsed="false">
      <c r="A605" s="13" t="n">
        <f aca="false">'Match Results'!A152</f>
        <v>45960</v>
      </c>
      <c r="B605" s="13" t="n">
        <f aca="false">'Match Results'!B605</f>
        <v>0</v>
      </c>
      <c r="C605" s="13" t="n">
        <f aca="false">C601+1</f>
        <v>152</v>
      </c>
      <c r="D605" s="13" t="n">
        <f aca="false">'Match Results'!H152</f>
        <v>0</v>
      </c>
      <c r="E605" s="13" t="str">
        <f aca="false">IF('Match Results'!F292&gt;'Match Results'!E292,"Win",IF('Match Results'!E291='Match Results'!F291,"Draw","Loss"))</f>
        <v>Draw</v>
      </c>
      <c r="F605" s="13" t="n">
        <f aca="false">IF(E605="Win",3,IF(E605="Draw",2,1))</f>
        <v>2</v>
      </c>
    </row>
    <row r="606" customFormat="false" ht="14.25" hidden="false" customHeight="false" outlineLevel="0" collapsed="false">
      <c r="A606" s="13" t="n">
        <f aca="false">'Match Results'!A153</f>
        <v>45960</v>
      </c>
      <c r="B606" s="13" t="n">
        <f aca="false">'Match Results'!B606</f>
        <v>0</v>
      </c>
      <c r="C606" s="13" t="n">
        <f aca="false">C602+1</f>
        <v>153</v>
      </c>
      <c r="D606" s="13" t="n">
        <f aca="false">'Match Results'!C153</f>
        <v>0</v>
      </c>
      <c r="E606" s="13" t="str">
        <f aca="false">IF('Match Results'!F293&gt;'Match Results'!E293,"Win",IF('Match Results'!E292='Match Results'!F292,"Draw","Loss"))</f>
        <v>Draw</v>
      </c>
      <c r="F606" s="13" t="n">
        <f aca="false">IF(E606="Win",3,IF(E606="Draw",2,1))</f>
        <v>2</v>
      </c>
    </row>
    <row r="607" customFormat="false" ht="14.25" hidden="false" customHeight="false" outlineLevel="0" collapsed="false">
      <c r="A607" s="13" t="n">
        <f aca="false">'Match Results'!A153</f>
        <v>45960</v>
      </c>
      <c r="B607" s="13" t="n">
        <f aca="false">'Match Results'!B607</f>
        <v>0</v>
      </c>
      <c r="C607" s="13" t="n">
        <f aca="false">C603+1</f>
        <v>153</v>
      </c>
      <c r="D607" s="13" t="n">
        <f aca="false">'Match Results'!D153</f>
        <v>0</v>
      </c>
      <c r="E607" s="13" t="str">
        <f aca="false">IF('Match Results'!F294&gt;'Match Results'!E294,"Win",IF('Match Results'!E293='Match Results'!F293,"Draw","Loss"))</f>
        <v>Draw</v>
      </c>
      <c r="F607" s="13" t="n">
        <f aca="false">IF(E607="Win",3,IF(E607="Draw",2,1))</f>
        <v>2</v>
      </c>
    </row>
    <row r="608" customFormat="false" ht="14.25" hidden="false" customHeight="false" outlineLevel="0" collapsed="false">
      <c r="A608" s="13" t="n">
        <f aca="false">'Match Results'!A153</f>
        <v>45960</v>
      </c>
      <c r="B608" s="13" t="n">
        <f aca="false">'Match Results'!B608</f>
        <v>0</v>
      </c>
      <c r="C608" s="13" t="n">
        <f aca="false">C604+1</f>
        <v>153</v>
      </c>
      <c r="D608" s="13" t="n">
        <f aca="false">'Match Results'!G153</f>
        <v>0</v>
      </c>
      <c r="E608" s="13" t="str">
        <f aca="false">IF('Match Results'!F295&gt;'Match Results'!E295,"Win",IF('Match Results'!E294='Match Results'!F294,"Draw","Loss"))</f>
        <v>Draw</v>
      </c>
      <c r="F608" s="13" t="n">
        <f aca="false">IF(E608="Win",3,IF(E608="Draw",2,1))</f>
        <v>2</v>
      </c>
    </row>
    <row r="609" customFormat="false" ht="14.25" hidden="false" customHeight="false" outlineLevel="0" collapsed="false">
      <c r="A609" s="13" t="n">
        <f aca="false">'Match Results'!A153</f>
        <v>45960</v>
      </c>
      <c r="B609" s="13" t="n">
        <f aca="false">'Match Results'!B609</f>
        <v>0</v>
      </c>
      <c r="C609" s="13" t="n">
        <f aca="false">C605+1</f>
        <v>153</v>
      </c>
      <c r="D609" s="13" t="n">
        <f aca="false">'Match Results'!H153</f>
        <v>0</v>
      </c>
      <c r="E609" s="13" t="str">
        <f aca="false">IF('Match Results'!F296&gt;'Match Results'!E296,"Win",IF('Match Results'!E295='Match Results'!F295,"Draw","Loss"))</f>
        <v>Draw</v>
      </c>
      <c r="F609" s="13" t="n">
        <f aca="false">IF(E609="Win",3,IF(E609="Draw",2,1))</f>
        <v>2</v>
      </c>
    </row>
    <row r="610" customFormat="false" ht="14.25" hidden="false" customHeight="false" outlineLevel="0" collapsed="false">
      <c r="A610" s="13" t="n">
        <f aca="false">'Match Results'!A154</f>
        <v>45967</v>
      </c>
      <c r="B610" s="13" t="n">
        <f aca="false">'Match Results'!B610</f>
        <v>0</v>
      </c>
      <c r="C610" s="13" t="n">
        <f aca="false">C606+1</f>
        <v>154</v>
      </c>
      <c r="D610" s="13" t="n">
        <f aca="false">'Match Results'!C154</f>
        <v>0</v>
      </c>
      <c r="E610" s="13" t="str">
        <f aca="false">IF('Match Results'!F297&gt;'Match Results'!E297,"Win",IF('Match Results'!E296='Match Results'!F296,"Draw","Loss"))</f>
        <v>Draw</v>
      </c>
      <c r="F610" s="13" t="n">
        <f aca="false">IF(E610="Win",3,IF(E610="Draw",2,1))</f>
        <v>2</v>
      </c>
    </row>
    <row r="611" customFormat="false" ht="14.25" hidden="false" customHeight="false" outlineLevel="0" collapsed="false">
      <c r="A611" s="13" t="n">
        <f aca="false">'Match Results'!A154</f>
        <v>45967</v>
      </c>
      <c r="B611" s="13" t="n">
        <f aca="false">'Match Results'!B611</f>
        <v>0</v>
      </c>
      <c r="C611" s="13" t="n">
        <f aca="false">C607+1</f>
        <v>154</v>
      </c>
      <c r="D611" s="13" t="n">
        <f aca="false">'Match Results'!D154</f>
        <v>0</v>
      </c>
      <c r="E611" s="13" t="str">
        <f aca="false">IF('Match Results'!F298&gt;'Match Results'!E298,"Win",IF('Match Results'!E297='Match Results'!F297,"Draw","Loss"))</f>
        <v>Draw</v>
      </c>
      <c r="F611" s="13" t="n">
        <f aca="false">IF(E611="Win",3,IF(E611="Draw",2,1))</f>
        <v>2</v>
      </c>
    </row>
    <row r="612" customFormat="false" ht="14.25" hidden="false" customHeight="false" outlineLevel="0" collapsed="false">
      <c r="A612" s="13" t="n">
        <f aca="false">'Match Results'!A154</f>
        <v>45967</v>
      </c>
      <c r="B612" s="13" t="n">
        <f aca="false">'Match Results'!B612</f>
        <v>0</v>
      </c>
      <c r="C612" s="13" t="n">
        <f aca="false">C608+1</f>
        <v>154</v>
      </c>
      <c r="D612" s="13" t="n">
        <f aca="false">'Match Results'!G154</f>
        <v>0</v>
      </c>
      <c r="E612" s="13" t="str">
        <f aca="false">IF('Match Results'!F299&gt;'Match Results'!E299,"Win",IF('Match Results'!E298='Match Results'!F298,"Draw","Loss"))</f>
        <v>Draw</v>
      </c>
      <c r="F612" s="13" t="n">
        <f aca="false">IF(E612="Win",3,IF(E612="Draw",2,1))</f>
        <v>2</v>
      </c>
    </row>
    <row r="613" customFormat="false" ht="14.25" hidden="false" customHeight="false" outlineLevel="0" collapsed="false">
      <c r="A613" s="13" t="n">
        <f aca="false">'Match Results'!A154</f>
        <v>45967</v>
      </c>
      <c r="B613" s="13" t="n">
        <f aca="false">'Match Results'!B613</f>
        <v>0</v>
      </c>
      <c r="C613" s="13" t="n">
        <f aca="false">C609+1</f>
        <v>154</v>
      </c>
      <c r="D613" s="13" t="n">
        <f aca="false">'Match Results'!H154</f>
        <v>0</v>
      </c>
      <c r="E613" s="13" t="str">
        <f aca="false">IF('Match Results'!F300&gt;'Match Results'!E300,"Win",IF('Match Results'!E299='Match Results'!F299,"Draw","Loss"))</f>
        <v>Draw</v>
      </c>
      <c r="F613" s="13" t="n">
        <f aca="false">IF(E613="Win",3,IF(E613="Draw",2,1))</f>
        <v>2</v>
      </c>
    </row>
    <row r="614" customFormat="false" ht="14.25" hidden="false" customHeight="false" outlineLevel="0" collapsed="false">
      <c r="A614" s="13" t="n">
        <f aca="false">'Match Results'!A155</f>
        <v>45967</v>
      </c>
      <c r="B614" s="13" t="n">
        <f aca="false">'Match Results'!B614</f>
        <v>0</v>
      </c>
      <c r="C614" s="13" t="n">
        <f aca="false">C610+1</f>
        <v>155</v>
      </c>
      <c r="D614" s="13" t="n">
        <f aca="false">'Match Results'!C155</f>
        <v>0</v>
      </c>
      <c r="E614" s="13" t="str">
        <f aca="false">IF('Match Results'!F301&gt;'Match Results'!E301,"Win",IF('Match Results'!E300='Match Results'!F300,"Draw","Loss"))</f>
        <v>Draw</v>
      </c>
      <c r="F614" s="13" t="n">
        <f aca="false">IF(E614="Win",3,IF(E614="Draw",2,1))</f>
        <v>2</v>
      </c>
    </row>
    <row r="615" customFormat="false" ht="14.25" hidden="false" customHeight="false" outlineLevel="0" collapsed="false">
      <c r="A615" s="13" t="n">
        <f aca="false">'Match Results'!A155</f>
        <v>45967</v>
      </c>
      <c r="B615" s="13" t="n">
        <f aca="false">'Match Results'!B615</f>
        <v>0</v>
      </c>
      <c r="C615" s="13" t="n">
        <f aca="false">C611+1</f>
        <v>155</v>
      </c>
      <c r="D615" s="13" t="n">
        <f aca="false">'Match Results'!D155</f>
        <v>0</v>
      </c>
      <c r="E615" s="13" t="str">
        <f aca="false">IF('Match Results'!F302&gt;'Match Results'!E302,"Win",IF('Match Results'!E301='Match Results'!F301,"Draw","Loss"))</f>
        <v>Draw</v>
      </c>
      <c r="F615" s="13" t="n">
        <f aca="false">IF(E615="Win",3,IF(E615="Draw",2,1))</f>
        <v>2</v>
      </c>
    </row>
    <row r="616" customFormat="false" ht="14.25" hidden="false" customHeight="false" outlineLevel="0" collapsed="false">
      <c r="A616" s="13" t="n">
        <f aca="false">'Match Results'!A155</f>
        <v>45967</v>
      </c>
      <c r="B616" s="13" t="n">
        <f aca="false">'Match Results'!B616</f>
        <v>0</v>
      </c>
      <c r="C616" s="13" t="n">
        <f aca="false">C612+1</f>
        <v>155</v>
      </c>
      <c r="D616" s="13" t="n">
        <f aca="false">'Match Results'!G155</f>
        <v>0</v>
      </c>
      <c r="E616" s="13" t="str">
        <f aca="false">IF('Match Results'!F303&gt;'Match Results'!E303,"Win",IF('Match Results'!E302='Match Results'!F302,"Draw","Loss"))</f>
        <v>Draw</v>
      </c>
      <c r="F616" s="13" t="n">
        <f aca="false">IF(E616="Win",3,IF(E616="Draw",2,1))</f>
        <v>2</v>
      </c>
    </row>
    <row r="617" customFormat="false" ht="14.25" hidden="false" customHeight="false" outlineLevel="0" collapsed="false">
      <c r="A617" s="13" t="n">
        <f aca="false">'Match Results'!A155</f>
        <v>45967</v>
      </c>
      <c r="B617" s="13" t="n">
        <f aca="false">'Match Results'!B617</f>
        <v>0</v>
      </c>
      <c r="C617" s="13" t="n">
        <f aca="false">C613+1</f>
        <v>155</v>
      </c>
      <c r="D617" s="13" t="n">
        <f aca="false">'Match Results'!H155</f>
        <v>0</v>
      </c>
      <c r="E617" s="13" t="str">
        <f aca="false">IF('Match Results'!F304&gt;'Match Results'!E304,"Win",IF('Match Results'!E303='Match Results'!F303,"Draw","Loss"))</f>
        <v>Draw</v>
      </c>
      <c r="F617" s="13" t="n">
        <f aca="false">IF(E617="Win",3,IF(E617="Draw",2,1))</f>
        <v>2</v>
      </c>
    </row>
    <row r="618" customFormat="false" ht="14.25" hidden="false" customHeight="false" outlineLevel="0" collapsed="false">
      <c r="A618" s="13" t="n">
        <f aca="false">'Match Results'!A156</f>
        <v>45967</v>
      </c>
      <c r="B618" s="13" t="n">
        <f aca="false">'Match Results'!B618</f>
        <v>0</v>
      </c>
      <c r="C618" s="13" t="n">
        <f aca="false">C614+1</f>
        <v>156</v>
      </c>
      <c r="D618" s="13" t="n">
        <f aca="false">'Match Results'!C156</f>
        <v>0</v>
      </c>
      <c r="E618" s="13" t="str">
        <f aca="false">IF('Match Results'!F305&gt;'Match Results'!E305,"Win",IF('Match Results'!E304='Match Results'!F304,"Draw","Loss"))</f>
        <v>Draw</v>
      </c>
      <c r="F618" s="13" t="n">
        <f aca="false">IF(E618="Win",3,IF(E618="Draw",2,1))</f>
        <v>2</v>
      </c>
    </row>
    <row r="619" customFormat="false" ht="14.25" hidden="false" customHeight="false" outlineLevel="0" collapsed="false">
      <c r="A619" s="13" t="n">
        <f aca="false">'Match Results'!A156</f>
        <v>45967</v>
      </c>
      <c r="B619" s="13" t="n">
        <f aca="false">'Match Results'!B619</f>
        <v>0</v>
      </c>
      <c r="C619" s="13" t="n">
        <f aca="false">C615+1</f>
        <v>156</v>
      </c>
      <c r="D619" s="13" t="n">
        <f aca="false">'Match Results'!D156</f>
        <v>0</v>
      </c>
      <c r="E619" s="13" t="str">
        <f aca="false">IF('Match Results'!F306&gt;'Match Results'!E306,"Win",IF('Match Results'!E305='Match Results'!F305,"Draw","Loss"))</f>
        <v>Draw</v>
      </c>
      <c r="F619" s="13" t="n">
        <f aca="false">IF(E619="Win",3,IF(E619="Draw",2,1))</f>
        <v>2</v>
      </c>
    </row>
    <row r="620" customFormat="false" ht="14.25" hidden="false" customHeight="false" outlineLevel="0" collapsed="false">
      <c r="A620" s="13" t="n">
        <f aca="false">'Match Results'!A156</f>
        <v>45967</v>
      </c>
      <c r="B620" s="13" t="n">
        <f aca="false">'Match Results'!B620</f>
        <v>0</v>
      </c>
      <c r="C620" s="13" t="n">
        <f aca="false">C616+1</f>
        <v>156</v>
      </c>
      <c r="D620" s="13" t="n">
        <f aca="false">'Match Results'!G156</f>
        <v>0</v>
      </c>
      <c r="E620" s="13" t="str">
        <f aca="false">IF('Match Results'!F307&gt;'Match Results'!E307,"Win",IF('Match Results'!E306='Match Results'!F306,"Draw","Loss"))</f>
        <v>Draw</v>
      </c>
      <c r="F620" s="13" t="n">
        <f aca="false">IF(E620="Win",3,IF(E620="Draw",2,1))</f>
        <v>2</v>
      </c>
    </row>
    <row r="621" customFormat="false" ht="14.25" hidden="false" customHeight="false" outlineLevel="0" collapsed="false">
      <c r="A621" s="13" t="n">
        <f aca="false">'Match Results'!A156</f>
        <v>45967</v>
      </c>
      <c r="B621" s="13" t="n">
        <f aca="false">'Match Results'!B621</f>
        <v>0</v>
      </c>
      <c r="C621" s="13" t="n">
        <f aca="false">C617+1</f>
        <v>156</v>
      </c>
      <c r="D621" s="13" t="n">
        <f aca="false">'Match Results'!H156</f>
        <v>0</v>
      </c>
      <c r="E621" s="13" t="str">
        <f aca="false">IF('Match Results'!F308&gt;'Match Results'!E308,"Win",IF('Match Results'!E307='Match Results'!F307,"Draw","Loss"))</f>
        <v>Draw</v>
      </c>
      <c r="F621" s="13" t="n">
        <f aca="false">IF(E621="Win",3,IF(E621="Draw",2,1))</f>
        <v>2</v>
      </c>
    </row>
    <row r="622" customFormat="false" ht="14.25" hidden="false" customHeight="false" outlineLevel="0" collapsed="false">
      <c r="A622" s="13" t="n">
        <f aca="false">'Match Results'!A157</f>
        <v>45967</v>
      </c>
      <c r="B622" s="13" t="n">
        <f aca="false">'Match Results'!B622</f>
        <v>0</v>
      </c>
      <c r="C622" s="13" t="n">
        <f aca="false">C618+1</f>
        <v>157</v>
      </c>
      <c r="D622" s="13" t="n">
        <f aca="false">'Match Results'!C157</f>
        <v>0</v>
      </c>
      <c r="E622" s="13" t="str">
        <f aca="false">IF('Match Results'!F309&gt;'Match Results'!E309,"Win",IF('Match Results'!E308='Match Results'!F308,"Draw","Loss"))</f>
        <v>Draw</v>
      </c>
      <c r="F622" s="13" t="n">
        <f aca="false">IF(E622="Win",3,IF(E622="Draw",2,1))</f>
        <v>2</v>
      </c>
    </row>
    <row r="623" customFormat="false" ht="14.25" hidden="false" customHeight="false" outlineLevel="0" collapsed="false">
      <c r="A623" s="13" t="n">
        <f aca="false">'Match Results'!A157</f>
        <v>45967</v>
      </c>
      <c r="B623" s="13" t="n">
        <f aca="false">'Match Results'!B623</f>
        <v>0</v>
      </c>
      <c r="C623" s="13" t="n">
        <f aca="false">C619+1</f>
        <v>157</v>
      </c>
      <c r="D623" s="13" t="n">
        <f aca="false">'Match Results'!D157</f>
        <v>0</v>
      </c>
      <c r="E623" s="13" t="str">
        <f aca="false">IF('Match Results'!F310&gt;'Match Results'!E310,"Win",IF('Match Results'!E309='Match Results'!F309,"Draw","Loss"))</f>
        <v>Draw</v>
      </c>
      <c r="F623" s="13" t="n">
        <f aca="false">IF(E623="Win",3,IF(E623="Draw",2,1))</f>
        <v>2</v>
      </c>
    </row>
    <row r="624" customFormat="false" ht="14.25" hidden="false" customHeight="false" outlineLevel="0" collapsed="false">
      <c r="A624" s="13" t="n">
        <f aca="false">'Match Results'!A157</f>
        <v>45967</v>
      </c>
      <c r="B624" s="13" t="n">
        <f aca="false">'Match Results'!B624</f>
        <v>0</v>
      </c>
      <c r="C624" s="13" t="n">
        <f aca="false">C620+1</f>
        <v>157</v>
      </c>
      <c r="D624" s="13" t="n">
        <f aca="false">'Match Results'!G157</f>
        <v>0</v>
      </c>
      <c r="E624" s="13" t="str">
        <f aca="false">IF('Match Results'!F311&gt;'Match Results'!E311,"Win",IF('Match Results'!E310='Match Results'!F310,"Draw","Loss"))</f>
        <v>Draw</v>
      </c>
      <c r="F624" s="13" t="n">
        <f aca="false">IF(E624="Win",3,IF(E624="Draw",2,1))</f>
        <v>2</v>
      </c>
    </row>
    <row r="625" customFormat="false" ht="14.25" hidden="false" customHeight="false" outlineLevel="0" collapsed="false">
      <c r="A625" s="13" t="n">
        <f aca="false">'Match Results'!A157</f>
        <v>45967</v>
      </c>
      <c r="B625" s="13" t="n">
        <f aca="false">'Match Results'!B625</f>
        <v>0</v>
      </c>
      <c r="C625" s="13" t="n">
        <f aca="false">C621+1</f>
        <v>157</v>
      </c>
      <c r="D625" s="13" t="n">
        <f aca="false">'Match Results'!H157</f>
        <v>0</v>
      </c>
      <c r="E625" s="13" t="str">
        <f aca="false">IF('Match Results'!F312&gt;'Match Results'!E312,"Win",IF('Match Results'!E311='Match Results'!F311,"Draw","Loss"))</f>
        <v>Draw</v>
      </c>
      <c r="F625" s="13" t="n">
        <f aca="false">IF(E625="Win",3,IF(E625="Draw",2,1))</f>
        <v>2</v>
      </c>
    </row>
    <row r="626" customFormat="false" ht="14.25" hidden="false" customHeight="false" outlineLevel="0" collapsed="false">
      <c r="A626" s="13" t="n">
        <f aca="false">'Match Results'!A158</f>
        <v>45967</v>
      </c>
      <c r="B626" s="13" t="n">
        <f aca="false">'Match Results'!B626</f>
        <v>0</v>
      </c>
      <c r="C626" s="13" t="n">
        <f aca="false">C622+1</f>
        <v>158</v>
      </c>
      <c r="D626" s="13" t="n">
        <f aca="false">'Match Results'!C158</f>
        <v>0</v>
      </c>
      <c r="E626" s="13" t="str">
        <f aca="false">IF('Match Results'!F313&gt;'Match Results'!E313,"Win",IF('Match Results'!E312='Match Results'!F312,"Draw","Loss"))</f>
        <v>Draw</v>
      </c>
      <c r="F626" s="13" t="n">
        <f aca="false">IF(E626="Win",3,IF(E626="Draw",2,1))</f>
        <v>2</v>
      </c>
    </row>
    <row r="627" customFormat="false" ht="14.25" hidden="false" customHeight="false" outlineLevel="0" collapsed="false">
      <c r="A627" s="13" t="n">
        <f aca="false">'Match Results'!A158</f>
        <v>45967</v>
      </c>
      <c r="B627" s="13" t="n">
        <f aca="false">'Match Results'!B627</f>
        <v>0</v>
      </c>
      <c r="C627" s="13" t="n">
        <f aca="false">C623+1</f>
        <v>158</v>
      </c>
      <c r="D627" s="13" t="n">
        <f aca="false">'Match Results'!D158</f>
        <v>0</v>
      </c>
      <c r="E627" s="13" t="str">
        <f aca="false">IF('Match Results'!F314&gt;'Match Results'!E314,"Win",IF('Match Results'!E313='Match Results'!F313,"Draw","Loss"))</f>
        <v>Draw</v>
      </c>
      <c r="F627" s="13" t="n">
        <f aca="false">IF(E627="Win",3,IF(E627="Draw",2,1))</f>
        <v>2</v>
      </c>
    </row>
    <row r="628" customFormat="false" ht="14.25" hidden="false" customHeight="false" outlineLevel="0" collapsed="false">
      <c r="A628" s="13" t="n">
        <f aca="false">'Match Results'!A158</f>
        <v>45967</v>
      </c>
      <c r="B628" s="13" t="n">
        <f aca="false">'Match Results'!B628</f>
        <v>0</v>
      </c>
      <c r="C628" s="13" t="n">
        <f aca="false">C624+1</f>
        <v>158</v>
      </c>
      <c r="D628" s="13" t="n">
        <f aca="false">'Match Results'!G158</f>
        <v>0</v>
      </c>
      <c r="E628" s="13" t="str">
        <f aca="false">IF('Match Results'!F315&gt;'Match Results'!E315,"Win",IF('Match Results'!E314='Match Results'!F314,"Draw","Loss"))</f>
        <v>Draw</v>
      </c>
      <c r="F628" s="13" t="n">
        <f aca="false">IF(E628="Win",3,IF(E628="Draw",2,1))</f>
        <v>2</v>
      </c>
    </row>
    <row r="629" customFormat="false" ht="14.25" hidden="false" customHeight="false" outlineLevel="0" collapsed="false">
      <c r="A629" s="13" t="n">
        <f aca="false">'Match Results'!A158</f>
        <v>45967</v>
      </c>
      <c r="B629" s="13" t="n">
        <f aca="false">'Match Results'!B629</f>
        <v>0</v>
      </c>
      <c r="C629" s="13" t="n">
        <f aca="false">C625+1</f>
        <v>158</v>
      </c>
      <c r="D629" s="13" t="n">
        <f aca="false">'Match Results'!H158</f>
        <v>0</v>
      </c>
      <c r="E629" s="13" t="str">
        <f aca="false">IF('Match Results'!F316&gt;'Match Results'!E316,"Win",IF('Match Results'!E315='Match Results'!F315,"Draw","Loss"))</f>
        <v>Draw</v>
      </c>
      <c r="F629" s="13" t="n">
        <f aca="false">IF(E629="Win",3,IF(E629="Draw",2,1))</f>
        <v>2</v>
      </c>
    </row>
    <row r="630" customFormat="false" ht="14.25" hidden="false" customHeight="false" outlineLevel="0" collapsed="false">
      <c r="A630" s="13" t="n">
        <f aca="false">'Match Results'!A159</f>
        <v>45967</v>
      </c>
      <c r="B630" s="13" t="n">
        <f aca="false">'Match Results'!B630</f>
        <v>0</v>
      </c>
      <c r="C630" s="13" t="n">
        <f aca="false">C626+1</f>
        <v>159</v>
      </c>
      <c r="D630" s="13" t="n">
        <f aca="false">'Match Results'!C159</f>
        <v>0</v>
      </c>
      <c r="E630" s="13" t="str">
        <f aca="false">IF('Match Results'!F317&gt;'Match Results'!E317,"Win",IF('Match Results'!E316='Match Results'!F316,"Draw","Loss"))</f>
        <v>Draw</v>
      </c>
      <c r="F630" s="13" t="n">
        <f aca="false">IF(E630="Win",3,IF(E630="Draw",2,1))</f>
        <v>2</v>
      </c>
    </row>
    <row r="631" customFormat="false" ht="14.25" hidden="false" customHeight="false" outlineLevel="0" collapsed="false">
      <c r="A631" s="13" t="n">
        <f aca="false">'Match Results'!A159</f>
        <v>45967</v>
      </c>
      <c r="B631" s="13" t="n">
        <f aca="false">'Match Results'!B631</f>
        <v>0</v>
      </c>
      <c r="C631" s="13" t="n">
        <f aca="false">C627+1</f>
        <v>159</v>
      </c>
      <c r="D631" s="13" t="n">
        <f aca="false">'Match Results'!D159</f>
        <v>0</v>
      </c>
      <c r="E631" s="13" t="str">
        <f aca="false">IF('Match Results'!F318&gt;'Match Results'!E318,"Win",IF('Match Results'!E317='Match Results'!F317,"Draw","Loss"))</f>
        <v>Draw</v>
      </c>
      <c r="F631" s="13" t="n">
        <f aca="false">IF(E631="Win",3,IF(E631="Draw",2,1))</f>
        <v>2</v>
      </c>
    </row>
    <row r="632" customFormat="false" ht="14.25" hidden="false" customHeight="false" outlineLevel="0" collapsed="false">
      <c r="A632" s="13" t="n">
        <f aca="false">'Match Results'!A159</f>
        <v>45967</v>
      </c>
      <c r="B632" s="13" t="n">
        <f aca="false">'Match Results'!B632</f>
        <v>0</v>
      </c>
      <c r="C632" s="13" t="n">
        <f aca="false">C628+1</f>
        <v>159</v>
      </c>
      <c r="D632" s="13" t="n">
        <f aca="false">'Match Results'!G159</f>
        <v>0</v>
      </c>
      <c r="E632" s="13" t="str">
        <f aca="false">IF('Match Results'!F319&gt;'Match Results'!E319,"Win",IF('Match Results'!E318='Match Results'!F318,"Draw","Loss"))</f>
        <v>Draw</v>
      </c>
      <c r="F632" s="13" t="n">
        <f aca="false">IF(E632="Win",3,IF(E632="Draw",2,1))</f>
        <v>2</v>
      </c>
    </row>
    <row r="633" customFormat="false" ht="14.25" hidden="false" customHeight="false" outlineLevel="0" collapsed="false">
      <c r="A633" s="13" t="n">
        <f aca="false">'Match Results'!A159</f>
        <v>45967</v>
      </c>
      <c r="B633" s="13" t="n">
        <f aca="false">'Match Results'!B633</f>
        <v>0</v>
      </c>
      <c r="C633" s="13" t="n">
        <f aca="false">C629+1</f>
        <v>159</v>
      </c>
      <c r="D633" s="13" t="n">
        <f aca="false">'Match Results'!H159</f>
        <v>0</v>
      </c>
      <c r="E633" s="13" t="str">
        <f aca="false">IF('Match Results'!F320&gt;'Match Results'!E320,"Win",IF('Match Results'!E319='Match Results'!F319,"Draw","Loss"))</f>
        <v>Draw</v>
      </c>
      <c r="F633" s="13" t="n">
        <f aca="false">IF(E633="Win",3,IF(E633="Draw",2,1))</f>
        <v>2</v>
      </c>
    </row>
    <row r="634" customFormat="false" ht="14.25" hidden="false" customHeight="false" outlineLevel="0" collapsed="false">
      <c r="A634" s="13" t="n">
        <f aca="false">'Match Results'!A160</f>
        <v>45967</v>
      </c>
      <c r="B634" s="13" t="n">
        <f aca="false">'Match Results'!B634</f>
        <v>0</v>
      </c>
      <c r="C634" s="13" t="n">
        <f aca="false">C630+1</f>
        <v>160</v>
      </c>
      <c r="D634" s="13" t="n">
        <f aca="false">'Match Results'!C160</f>
        <v>0</v>
      </c>
      <c r="E634" s="13" t="str">
        <f aca="false">IF('Match Results'!F321&gt;'Match Results'!E321,"Win",IF('Match Results'!E320='Match Results'!F320,"Draw","Loss"))</f>
        <v>Draw</v>
      </c>
      <c r="F634" s="13" t="n">
        <f aca="false">IF(E634="Win",3,IF(E634="Draw",2,1))</f>
        <v>2</v>
      </c>
    </row>
    <row r="635" customFormat="false" ht="14.25" hidden="false" customHeight="false" outlineLevel="0" collapsed="false">
      <c r="A635" s="13" t="n">
        <f aca="false">'Match Results'!A160</f>
        <v>45967</v>
      </c>
      <c r="B635" s="13" t="n">
        <f aca="false">'Match Results'!B635</f>
        <v>0</v>
      </c>
      <c r="C635" s="13" t="n">
        <f aca="false">C631+1</f>
        <v>160</v>
      </c>
      <c r="D635" s="13" t="n">
        <f aca="false">'Match Results'!D160</f>
        <v>0</v>
      </c>
      <c r="E635" s="13" t="str">
        <f aca="false">IF('Match Results'!F322&gt;'Match Results'!E322,"Win",IF('Match Results'!E321='Match Results'!F321,"Draw","Loss"))</f>
        <v>Draw</v>
      </c>
      <c r="F635" s="13" t="n">
        <f aca="false">IF(E635="Win",3,IF(E635="Draw",2,1))</f>
        <v>2</v>
      </c>
    </row>
    <row r="636" customFormat="false" ht="14.25" hidden="false" customHeight="false" outlineLevel="0" collapsed="false">
      <c r="A636" s="13" t="n">
        <f aca="false">'Match Results'!A160</f>
        <v>45967</v>
      </c>
      <c r="B636" s="13" t="n">
        <f aca="false">'Match Results'!B636</f>
        <v>0</v>
      </c>
      <c r="C636" s="13" t="n">
        <f aca="false">C632+1</f>
        <v>160</v>
      </c>
      <c r="D636" s="13" t="n">
        <f aca="false">'Match Results'!G160</f>
        <v>0</v>
      </c>
      <c r="E636" s="13" t="str">
        <f aca="false">IF('Match Results'!F323&gt;'Match Results'!E323,"Win",IF('Match Results'!E322='Match Results'!F322,"Draw","Loss"))</f>
        <v>Draw</v>
      </c>
      <c r="F636" s="13" t="n">
        <f aca="false">IF(E636="Win",3,IF(E636="Draw",2,1))</f>
        <v>2</v>
      </c>
    </row>
    <row r="637" customFormat="false" ht="14.25" hidden="false" customHeight="false" outlineLevel="0" collapsed="false">
      <c r="A637" s="13" t="n">
        <f aca="false">'Match Results'!A160</f>
        <v>45967</v>
      </c>
      <c r="B637" s="13" t="n">
        <f aca="false">'Match Results'!B637</f>
        <v>0</v>
      </c>
      <c r="C637" s="13" t="n">
        <f aca="false">C633+1</f>
        <v>160</v>
      </c>
      <c r="D637" s="13" t="n">
        <f aca="false">'Match Results'!H160</f>
        <v>0</v>
      </c>
      <c r="E637" s="13" t="str">
        <f aca="false">IF('Match Results'!F324&gt;'Match Results'!E324,"Win",IF('Match Results'!E323='Match Results'!F323,"Draw","Loss"))</f>
        <v>Draw</v>
      </c>
      <c r="F637" s="13" t="n">
        <f aca="false">IF(E637="Win",3,IF(E637="Draw",2,1))</f>
        <v>2</v>
      </c>
    </row>
    <row r="638" customFormat="false" ht="14.25" hidden="false" customHeight="false" outlineLevel="0" collapsed="false">
      <c r="A638" s="13" t="n">
        <f aca="false">'Match Results'!A161</f>
        <v>45967</v>
      </c>
      <c r="B638" s="13" t="n">
        <f aca="false">'Match Results'!B638</f>
        <v>0</v>
      </c>
      <c r="C638" s="13" t="n">
        <f aca="false">C634+1</f>
        <v>161</v>
      </c>
      <c r="D638" s="13" t="n">
        <f aca="false">'Match Results'!C161</f>
        <v>0</v>
      </c>
      <c r="E638" s="13" t="str">
        <f aca="false">IF('Match Results'!F325&gt;'Match Results'!E325,"Win",IF('Match Results'!E324='Match Results'!F324,"Draw","Loss"))</f>
        <v>Draw</v>
      </c>
      <c r="F638" s="13" t="n">
        <f aca="false">IF(E638="Win",3,IF(E638="Draw",2,1))</f>
        <v>2</v>
      </c>
    </row>
    <row r="639" customFormat="false" ht="14.25" hidden="false" customHeight="false" outlineLevel="0" collapsed="false">
      <c r="A639" s="13" t="n">
        <f aca="false">'Match Results'!A161</f>
        <v>45967</v>
      </c>
      <c r="B639" s="13" t="n">
        <f aca="false">'Match Results'!B639</f>
        <v>0</v>
      </c>
      <c r="C639" s="13" t="n">
        <f aca="false">C635+1</f>
        <v>161</v>
      </c>
      <c r="D639" s="13" t="n">
        <f aca="false">'Match Results'!D161</f>
        <v>0</v>
      </c>
      <c r="E639" s="13" t="str">
        <f aca="false">IF('Match Results'!F326&gt;'Match Results'!E326,"Win",IF('Match Results'!E325='Match Results'!F325,"Draw","Loss"))</f>
        <v>Draw</v>
      </c>
      <c r="F639" s="13" t="n">
        <f aca="false">IF(E639="Win",3,IF(E639="Draw",2,1))</f>
        <v>2</v>
      </c>
    </row>
    <row r="640" customFormat="false" ht="14.25" hidden="false" customHeight="false" outlineLevel="0" collapsed="false">
      <c r="A640" s="13" t="n">
        <f aca="false">'Match Results'!A161</f>
        <v>45967</v>
      </c>
      <c r="B640" s="13" t="n">
        <f aca="false">'Match Results'!B640</f>
        <v>0</v>
      </c>
      <c r="C640" s="13" t="n">
        <f aca="false">C636+1</f>
        <v>161</v>
      </c>
      <c r="D640" s="13" t="n">
        <f aca="false">'Match Results'!G161</f>
        <v>0</v>
      </c>
      <c r="E640" s="13" t="str">
        <f aca="false">IF('Match Results'!F327&gt;'Match Results'!E327,"Win",IF('Match Results'!E326='Match Results'!F326,"Draw","Loss"))</f>
        <v>Draw</v>
      </c>
      <c r="F640" s="13" t="n">
        <f aca="false">IF(E640="Win",3,IF(E640="Draw",2,1))</f>
        <v>2</v>
      </c>
    </row>
    <row r="641" customFormat="false" ht="14.25" hidden="false" customHeight="false" outlineLevel="0" collapsed="false">
      <c r="A641" s="13" t="n">
        <f aca="false">'Match Results'!A161</f>
        <v>45967</v>
      </c>
      <c r="B641" s="13" t="n">
        <f aca="false">'Match Results'!B641</f>
        <v>0</v>
      </c>
      <c r="C641" s="13" t="n">
        <f aca="false">C637+1</f>
        <v>161</v>
      </c>
      <c r="D641" s="13" t="n">
        <f aca="false">'Match Results'!H161</f>
        <v>0</v>
      </c>
      <c r="E641" s="13" t="str">
        <f aca="false">IF('Match Results'!F328&gt;'Match Results'!E328,"Win",IF('Match Results'!E327='Match Results'!F327,"Draw","Loss"))</f>
        <v>Draw</v>
      </c>
      <c r="F641" s="13" t="n">
        <f aca="false">IF(E641="Win",3,IF(E641="Draw",2,1))</f>
        <v>2</v>
      </c>
    </row>
    <row r="642" customFormat="false" ht="14.25" hidden="false" customHeight="false" outlineLevel="0" collapsed="false">
      <c r="A642" s="13" t="n">
        <f aca="false">'Match Results'!A162</f>
        <v>45967</v>
      </c>
      <c r="B642" s="13" t="n">
        <f aca="false">'Match Results'!B642</f>
        <v>0</v>
      </c>
      <c r="C642" s="13" t="n">
        <f aca="false">C638+1</f>
        <v>162</v>
      </c>
      <c r="D642" s="13" t="n">
        <f aca="false">'Match Results'!C162</f>
        <v>0</v>
      </c>
      <c r="E642" s="13" t="str">
        <f aca="false">IF('Match Results'!F329&gt;'Match Results'!E329,"Win",IF('Match Results'!E328='Match Results'!F328,"Draw","Loss"))</f>
        <v>Draw</v>
      </c>
      <c r="F642" s="13" t="n">
        <f aca="false">IF(E642="Win",3,IF(E642="Draw",2,1))</f>
        <v>2</v>
      </c>
    </row>
    <row r="643" customFormat="false" ht="14.25" hidden="false" customHeight="false" outlineLevel="0" collapsed="false">
      <c r="A643" s="13" t="n">
        <f aca="false">'Match Results'!A162</f>
        <v>45967</v>
      </c>
      <c r="B643" s="13" t="n">
        <f aca="false">'Match Results'!B643</f>
        <v>0</v>
      </c>
      <c r="C643" s="13" t="n">
        <f aca="false">C639+1</f>
        <v>162</v>
      </c>
      <c r="D643" s="13" t="n">
        <f aca="false">'Match Results'!D162</f>
        <v>0</v>
      </c>
      <c r="E643" s="13" t="str">
        <f aca="false">IF('Match Results'!F330&gt;'Match Results'!E330,"Win",IF('Match Results'!E329='Match Results'!F329,"Draw","Loss"))</f>
        <v>Draw</v>
      </c>
      <c r="F643" s="13" t="n">
        <f aca="false">IF(E643="Win",3,IF(E643="Draw",2,1))</f>
        <v>2</v>
      </c>
    </row>
    <row r="644" customFormat="false" ht="14.25" hidden="false" customHeight="false" outlineLevel="0" collapsed="false">
      <c r="A644" s="13" t="n">
        <f aca="false">'Match Results'!A162</f>
        <v>45967</v>
      </c>
      <c r="B644" s="13" t="n">
        <f aca="false">'Match Results'!B644</f>
        <v>0</v>
      </c>
      <c r="C644" s="13" t="n">
        <f aca="false">C640+1</f>
        <v>162</v>
      </c>
      <c r="D644" s="13" t="n">
        <f aca="false">'Match Results'!G162</f>
        <v>0</v>
      </c>
      <c r="E644" s="13" t="str">
        <f aca="false">IF('Match Results'!F331&gt;'Match Results'!E331,"Win",IF('Match Results'!E330='Match Results'!F330,"Draw","Loss"))</f>
        <v>Draw</v>
      </c>
      <c r="F644" s="13" t="n">
        <f aca="false">IF(E644="Win",3,IF(E644="Draw",2,1))</f>
        <v>2</v>
      </c>
    </row>
    <row r="645" customFormat="false" ht="14.25" hidden="false" customHeight="false" outlineLevel="0" collapsed="false">
      <c r="A645" s="13" t="n">
        <f aca="false">'Match Results'!A162</f>
        <v>45967</v>
      </c>
      <c r="B645" s="13" t="n">
        <f aca="false">'Match Results'!B645</f>
        <v>0</v>
      </c>
      <c r="C645" s="13" t="n">
        <f aca="false">C641+1</f>
        <v>162</v>
      </c>
      <c r="D645" s="13" t="n">
        <f aca="false">'Match Results'!H162</f>
        <v>0</v>
      </c>
      <c r="E645" s="13" t="str">
        <f aca="false">IF('Match Results'!F332&gt;'Match Results'!E332,"Win",IF('Match Results'!E331='Match Results'!F331,"Draw","Loss"))</f>
        <v>Draw</v>
      </c>
      <c r="F645" s="13" t="n">
        <f aca="false">IF(E645="Win",3,IF(E645="Draw",2,1))</f>
        <v>2</v>
      </c>
    </row>
    <row r="646" customFormat="false" ht="14.25" hidden="false" customHeight="false" outlineLevel="0" collapsed="false">
      <c r="A646" s="13" t="n">
        <f aca="false">'Match Results'!A163</f>
        <v>45960</v>
      </c>
      <c r="B646" s="13" t="n">
        <f aca="false">'Match Results'!B646</f>
        <v>0</v>
      </c>
      <c r="C646" s="13" t="n">
        <f aca="false">C642+1</f>
        <v>163</v>
      </c>
      <c r="D646" s="13" t="n">
        <f aca="false">'Match Results'!C163</f>
        <v>0</v>
      </c>
      <c r="E646" s="13" t="str">
        <f aca="false">IF('Match Results'!F333&gt;'Match Results'!E333,"Win",IF('Match Results'!E332='Match Results'!F332,"Draw","Loss"))</f>
        <v>Draw</v>
      </c>
      <c r="F646" s="13" t="n">
        <f aca="false">IF(E646="Win",3,IF(E646="Draw",2,1))</f>
        <v>2</v>
      </c>
    </row>
    <row r="647" customFormat="false" ht="14.25" hidden="false" customHeight="false" outlineLevel="0" collapsed="false">
      <c r="A647" s="13" t="n">
        <f aca="false">'Match Results'!A163</f>
        <v>45960</v>
      </c>
      <c r="B647" s="13" t="n">
        <f aca="false">'Match Results'!B647</f>
        <v>0</v>
      </c>
      <c r="C647" s="13" t="n">
        <f aca="false">C643+1</f>
        <v>163</v>
      </c>
      <c r="D647" s="13" t="n">
        <f aca="false">'Match Results'!D163</f>
        <v>0</v>
      </c>
      <c r="E647" s="13" t="str">
        <f aca="false">IF('Match Results'!F334&gt;'Match Results'!E334,"Win",IF('Match Results'!E333='Match Results'!F333,"Draw","Loss"))</f>
        <v>Draw</v>
      </c>
      <c r="F647" s="13" t="n">
        <f aca="false">IF(E647="Win",3,IF(E647="Draw",2,1))</f>
        <v>2</v>
      </c>
    </row>
    <row r="648" customFormat="false" ht="14.25" hidden="false" customHeight="false" outlineLevel="0" collapsed="false">
      <c r="A648" s="13" t="n">
        <f aca="false">'Match Results'!A163</f>
        <v>45960</v>
      </c>
      <c r="B648" s="13" t="n">
        <f aca="false">'Match Results'!B648</f>
        <v>0</v>
      </c>
      <c r="C648" s="13" t="n">
        <f aca="false">C644+1</f>
        <v>163</v>
      </c>
      <c r="D648" s="13" t="n">
        <f aca="false">'Match Results'!G163</f>
        <v>0</v>
      </c>
      <c r="E648" s="13" t="str">
        <f aca="false">IF('Match Results'!F335&gt;'Match Results'!E335,"Win",IF('Match Results'!E334='Match Results'!F334,"Draw","Loss"))</f>
        <v>Draw</v>
      </c>
      <c r="F648" s="13" t="n">
        <f aca="false">IF(E648="Win",3,IF(E648="Draw",2,1))</f>
        <v>2</v>
      </c>
    </row>
    <row r="649" customFormat="false" ht="14.25" hidden="false" customHeight="false" outlineLevel="0" collapsed="false">
      <c r="A649" s="13" t="n">
        <f aca="false">'Match Results'!A163</f>
        <v>45960</v>
      </c>
      <c r="B649" s="13" t="n">
        <f aca="false">'Match Results'!B649</f>
        <v>0</v>
      </c>
      <c r="C649" s="13" t="n">
        <f aca="false">C645+1</f>
        <v>163</v>
      </c>
      <c r="D649" s="13" t="n">
        <f aca="false">'Match Results'!H163</f>
        <v>0</v>
      </c>
      <c r="E649" s="13" t="str">
        <f aca="false">IF('Match Results'!F336&gt;'Match Results'!E336,"Win",IF('Match Results'!E335='Match Results'!F335,"Draw","Loss"))</f>
        <v>Draw</v>
      </c>
      <c r="F649" s="13" t="n">
        <f aca="false">IF(E649="Win",3,IF(E649="Draw",2,1))</f>
        <v>2</v>
      </c>
    </row>
    <row r="650" customFormat="false" ht="14.25" hidden="false" customHeight="false" outlineLevel="0" collapsed="false">
      <c r="A650" s="13" t="n">
        <f aca="false">'Match Results'!A164</f>
        <v>45960</v>
      </c>
      <c r="B650" s="13" t="n">
        <f aca="false">'Match Results'!B650</f>
        <v>0</v>
      </c>
      <c r="C650" s="13" t="n">
        <f aca="false">C646+1</f>
        <v>164</v>
      </c>
      <c r="D650" s="13" t="n">
        <f aca="false">'Match Results'!C164</f>
        <v>0</v>
      </c>
      <c r="E650" s="13" t="str">
        <f aca="false">IF('Match Results'!F337&gt;'Match Results'!E337,"Win",IF('Match Results'!E336='Match Results'!F336,"Draw","Loss"))</f>
        <v>Draw</v>
      </c>
      <c r="F650" s="13" t="n">
        <f aca="false">IF(E650="Win",3,IF(E650="Draw",2,1))</f>
        <v>2</v>
      </c>
    </row>
    <row r="651" customFormat="false" ht="14.25" hidden="false" customHeight="false" outlineLevel="0" collapsed="false">
      <c r="A651" s="13" t="n">
        <f aca="false">'Match Results'!A164</f>
        <v>45960</v>
      </c>
      <c r="B651" s="13" t="n">
        <f aca="false">'Match Results'!B651</f>
        <v>0</v>
      </c>
      <c r="C651" s="13" t="n">
        <f aca="false">C647+1</f>
        <v>164</v>
      </c>
      <c r="D651" s="13" t="n">
        <f aca="false">'Match Results'!D164</f>
        <v>0</v>
      </c>
      <c r="E651" s="13" t="str">
        <f aca="false">IF('Match Results'!F338&gt;'Match Results'!E338,"Win",IF('Match Results'!E337='Match Results'!F337,"Draw","Loss"))</f>
        <v>Draw</v>
      </c>
      <c r="F651" s="13" t="n">
        <f aca="false">IF(E651="Win",3,IF(E651="Draw",2,1))</f>
        <v>2</v>
      </c>
    </row>
    <row r="652" customFormat="false" ht="14.25" hidden="false" customHeight="false" outlineLevel="0" collapsed="false">
      <c r="A652" s="13" t="n">
        <f aca="false">'Match Results'!A164</f>
        <v>45960</v>
      </c>
      <c r="B652" s="13" t="n">
        <f aca="false">'Match Results'!B652</f>
        <v>0</v>
      </c>
      <c r="C652" s="13" t="n">
        <f aca="false">C648+1</f>
        <v>164</v>
      </c>
      <c r="D652" s="13" t="n">
        <f aca="false">'Match Results'!G164</f>
        <v>0</v>
      </c>
      <c r="E652" s="13" t="str">
        <f aca="false">IF('Match Results'!F339&gt;'Match Results'!E339,"Win",IF('Match Results'!E338='Match Results'!F338,"Draw","Loss"))</f>
        <v>Draw</v>
      </c>
      <c r="F652" s="13" t="n">
        <f aca="false">IF(E652="Win",3,IF(E652="Draw",2,1))</f>
        <v>2</v>
      </c>
    </row>
    <row r="653" customFormat="false" ht="14.25" hidden="false" customHeight="false" outlineLevel="0" collapsed="false">
      <c r="A653" s="13" t="n">
        <f aca="false">'Match Results'!A164</f>
        <v>45960</v>
      </c>
      <c r="B653" s="13" t="n">
        <f aca="false">'Match Results'!B653</f>
        <v>0</v>
      </c>
      <c r="C653" s="13" t="n">
        <f aca="false">C649+1</f>
        <v>164</v>
      </c>
      <c r="D653" s="13" t="n">
        <f aca="false">'Match Results'!H164</f>
        <v>0</v>
      </c>
      <c r="E653" s="13" t="str">
        <f aca="false">IF('Match Results'!F340&gt;'Match Results'!E340,"Win",IF('Match Results'!E339='Match Results'!F339,"Draw","Loss"))</f>
        <v>Draw</v>
      </c>
      <c r="F653" s="13" t="n">
        <f aca="false">IF(E653="Win",3,IF(E653="Draw",2,1))</f>
        <v>2</v>
      </c>
    </row>
    <row r="654" customFormat="false" ht="14.25" hidden="false" customHeight="false" outlineLevel="0" collapsed="false">
      <c r="A654" s="13" t="n">
        <f aca="false">'Match Results'!A165</f>
        <v>45960</v>
      </c>
      <c r="B654" s="13" t="n">
        <f aca="false">'Match Results'!B654</f>
        <v>0</v>
      </c>
      <c r="C654" s="13" t="n">
        <f aca="false">C650+1</f>
        <v>165</v>
      </c>
      <c r="D654" s="13" t="n">
        <f aca="false">'Match Results'!C165</f>
        <v>0</v>
      </c>
      <c r="E654" s="13" t="str">
        <f aca="false">IF('Match Results'!F341&gt;'Match Results'!E341,"Win",IF('Match Results'!E340='Match Results'!F340,"Draw","Loss"))</f>
        <v>Draw</v>
      </c>
      <c r="F654" s="13" t="n">
        <f aca="false">IF(E654="Win",3,IF(E654="Draw",2,1))</f>
        <v>2</v>
      </c>
    </row>
    <row r="655" customFormat="false" ht="14.25" hidden="false" customHeight="false" outlineLevel="0" collapsed="false">
      <c r="A655" s="13" t="n">
        <f aca="false">'Match Results'!A165</f>
        <v>45960</v>
      </c>
      <c r="B655" s="13" t="n">
        <f aca="false">'Match Results'!B655</f>
        <v>0</v>
      </c>
      <c r="C655" s="13" t="n">
        <f aca="false">C651+1</f>
        <v>165</v>
      </c>
      <c r="D655" s="13" t="n">
        <f aca="false">'Match Results'!D165</f>
        <v>0</v>
      </c>
      <c r="E655" s="13" t="str">
        <f aca="false">IF('Match Results'!F342&gt;'Match Results'!E342,"Win",IF('Match Results'!E341='Match Results'!F341,"Draw","Loss"))</f>
        <v>Draw</v>
      </c>
      <c r="F655" s="13" t="n">
        <f aca="false">IF(E655="Win",3,IF(E655="Draw",2,1))</f>
        <v>2</v>
      </c>
    </row>
    <row r="656" customFormat="false" ht="14.25" hidden="false" customHeight="false" outlineLevel="0" collapsed="false">
      <c r="A656" s="13" t="n">
        <f aca="false">'Match Results'!A165</f>
        <v>45960</v>
      </c>
      <c r="B656" s="13" t="n">
        <f aca="false">'Match Results'!B656</f>
        <v>0</v>
      </c>
      <c r="C656" s="13" t="n">
        <f aca="false">C652+1</f>
        <v>165</v>
      </c>
      <c r="D656" s="13" t="n">
        <f aca="false">'Match Results'!G165</f>
        <v>0</v>
      </c>
      <c r="E656" s="13" t="str">
        <f aca="false">IF('Match Results'!F343&gt;'Match Results'!E343,"Win",IF('Match Results'!E342='Match Results'!F342,"Draw","Loss"))</f>
        <v>Draw</v>
      </c>
      <c r="F656" s="13" t="n">
        <f aca="false">IF(E656="Win",3,IF(E656="Draw",2,1))</f>
        <v>2</v>
      </c>
    </row>
    <row r="657" customFormat="false" ht="14.25" hidden="false" customHeight="false" outlineLevel="0" collapsed="false">
      <c r="A657" s="13" t="n">
        <f aca="false">'Match Results'!A165</f>
        <v>45960</v>
      </c>
      <c r="B657" s="13" t="n">
        <f aca="false">'Match Results'!B657</f>
        <v>0</v>
      </c>
      <c r="C657" s="13" t="n">
        <f aca="false">C653+1</f>
        <v>165</v>
      </c>
      <c r="D657" s="13" t="n">
        <f aca="false">'Match Results'!H165</f>
        <v>0</v>
      </c>
      <c r="E657" s="13" t="str">
        <f aca="false">IF('Match Results'!F344&gt;'Match Results'!E344,"Win",IF('Match Results'!E343='Match Results'!F343,"Draw","Loss"))</f>
        <v>Draw</v>
      </c>
      <c r="F657" s="13" t="n">
        <f aca="false">IF(E657="Win",3,IF(E657="Draw",2,1))</f>
        <v>2</v>
      </c>
    </row>
    <row r="658" customFormat="false" ht="14.25" hidden="false" customHeight="false" outlineLevel="0" collapsed="false">
      <c r="A658" s="13" t="n">
        <f aca="false">'Match Results'!A166</f>
        <v>45960</v>
      </c>
      <c r="B658" s="13" t="n">
        <f aca="false">'Match Results'!B658</f>
        <v>0</v>
      </c>
      <c r="C658" s="13" t="n">
        <f aca="false">C654+1</f>
        <v>166</v>
      </c>
      <c r="D658" s="13" t="n">
        <f aca="false">'Match Results'!C166</f>
        <v>0</v>
      </c>
      <c r="E658" s="13" t="str">
        <f aca="false">IF('Match Results'!F345&gt;'Match Results'!E345,"Win",IF('Match Results'!E344='Match Results'!F344,"Draw","Loss"))</f>
        <v>Draw</v>
      </c>
      <c r="F658" s="13" t="n">
        <f aca="false">IF(E658="Win",3,IF(E658="Draw",2,1))</f>
        <v>2</v>
      </c>
    </row>
    <row r="659" customFormat="false" ht="14.25" hidden="false" customHeight="false" outlineLevel="0" collapsed="false">
      <c r="A659" s="13" t="n">
        <f aca="false">'Match Results'!A166</f>
        <v>45960</v>
      </c>
      <c r="B659" s="13" t="n">
        <f aca="false">'Match Results'!B659</f>
        <v>0</v>
      </c>
      <c r="C659" s="13" t="n">
        <f aca="false">C655+1</f>
        <v>166</v>
      </c>
      <c r="D659" s="13" t="n">
        <f aca="false">'Match Results'!D166</f>
        <v>0</v>
      </c>
      <c r="E659" s="13" t="str">
        <f aca="false">IF('Match Results'!F346&gt;'Match Results'!E346,"Win",IF('Match Results'!E345='Match Results'!F345,"Draw","Loss"))</f>
        <v>Draw</v>
      </c>
      <c r="F659" s="13" t="n">
        <f aca="false">IF(E659="Win",3,IF(E659="Draw",2,1))</f>
        <v>2</v>
      </c>
    </row>
    <row r="660" customFormat="false" ht="14.25" hidden="false" customHeight="false" outlineLevel="0" collapsed="false">
      <c r="A660" s="13" t="n">
        <f aca="false">'Match Results'!A166</f>
        <v>45960</v>
      </c>
      <c r="B660" s="13" t="n">
        <f aca="false">'Match Results'!B660</f>
        <v>0</v>
      </c>
      <c r="C660" s="13" t="n">
        <f aca="false">C656+1</f>
        <v>166</v>
      </c>
      <c r="D660" s="13" t="n">
        <f aca="false">'Match Results'!G166</f>
        <v>0</v>
      </c>
      <c r="E660" s="13" t="str">
        <f aca="false">IF('Match Results'!F347&gt;'Match Results'!E347,"Win",IF('Match Results'!E346='Match Results'!F346,"Draw","Loss"))</f>
        <v>Draw</v>
      </c>
      <c r="F660" s="13" t="n">
        <f aca="false">IF(E660="Win",3,IF(E660="Draw",2,1))</f>
        <v>2</v>
      </c>
    </row>
    <row r="661" customFormat="false" ht="14.25" hidden="false" customHeight="false" outlineLevel="0" collapsed="false">
      <c r="A661" s="13" t="n">
        <f aca="false">'Match Results'!A166</f>
        <v>45960</v>
      </c>
      <c r="B661" s="13" t="n">
        <f aca="false">'Match Results'!B661</f>
        <v>0</v>
      </c>
      <c r="C661" s="13" t="n">
        <f aca="false">C657+1</f>
        <v>166</v>
      </c>
      <c r="D661" s="13" t="n">
        <f aca="false">'Match Results'!H166</f>
        <v>0</v>
      </c>
      <c r="E661" s="13" t="str">
        <f aca="false">IF('Match Results'!F348&gt;'Match Results'!E348,"Win",IF('Match Results'!E347='Match Results'!F347,"Draw","Loss"))</f>
        <v>Draw</v>
      </c>
      <c r="F661" s="13" t="n">
        <f aca="false">IF(E661="Win",3,IF(E661="Draw",2,1))</f>
        <v>2</v>
      </c>
    </row>
    <row r="662" customFormat="false" ht="14.25" hidden="false" customHeight="false" outlineLevel="0" collapsed="false">
      <c r="A662" s="13" t="n">
        <f aca="false">'Match Results'!A167</f>
        <v>45967</v>
      </c>
      <c r="B662" s="13" t="n">
        <f aca="false">'Match Results'!B662</f>
        <v>0</v>
      </c>
      <c r="C662" s="13" t="n">
        <f aca="false">C658+1</f>
        <v>167</v>
      </c>
      <c r="D662" s="13" t="n">
        <f aca="false">'Match Results'!C167</f>
        <v>0</v>
      </c>
      <c r="E662" s="13" t="str">
        <f aca="false">IF('Match Results'!F349&gt;'Match Results'!E349,"Win",IF('Match Results'!E348='Match Results'!F348,"Draw","Loss"))</f>
        <v>Draw</v>
      </c>
      <c r="F662" s="13" t="n">
        <f aca="false">IF(E662="Win",3,IF(E662="Draw",2,1))</f>
        <v>2</v>
      </c>
    </row>
    <row r="663" customFormat="false" ht="14.25" hidden="false" customHeight="false" outlineLevel="0" collapsed="false">
      <c r="A663" s="13" t="n">
        <f aca="false">'Match Results'!A167</f>
        <v>45967</v>
      </c>
      <c r="B663" s="13" t="n">
        <f aca="false">'Match Results'!B663</f>
        <v>0</v>
      </c>
      <c r="C663" s="13" t="n">
        <f aca="false">C659+1</f>
        <v>167</v>
      </c>
      <c r="D663" s="13" t="n">
        <f aca="false">'Match Results'!D167</f>
        <v>0</v>
      </c>
      <c r="E663" s="13" t="str">
        <f aca="false">IF('Match Results'!F350&gt;'Match Results'!E350,"Win",IF('Match Results'!E349='Match Results'!F349,"Draw","Loss"))</f>
        <v>Draw</v>
      </c>
      <c r="F663" s="13" t="n">
        <f aca="false">IF(E663="Win",3,IF(E663="Draw",2,1))</f>
        <v>2</v>
      </c>
    </row>
    <row r="664" customFormat="false" ht="14.25" hidden="false" customHeight="false" outlineLevel="0" collapsed="false">
      <c r="A664" s="13" t="n">
        <f aca="false">'Match Results'!A167</f>
        <v>45967</v>
      </c>
      <c r="B664" s="13" t="n">
        <f aca="false">'Match Results'!B664</f>
        <v>0</v>
      </c>
      <c r="C664" s="13" t="n">
        <f aca="false">C660+1</f>
        <v>167</v>
      </c>
      <c r="D664" s="13" t="n">
        <f aca="false">'Match Results'!G167</f>
        <v>0</v>
      </c>
      <c r="E664" s="13" t="str">
        <f aca="false">IF('Match Results'!F351&gt;'Match Results'!E351,"Win",IF('Match Results'!E350='Match Results'!F350,"Draw","Loss"))</f>
        <v>Draw</v>
      </c>
      <c r="F664" s="13" t="n">
        <f aca="false">IF(E664="Win",3,IF(E664="Draw",2,1))</f>
        <v>2</v>
      </c>
    </row>
    <row r="665" customFormat="false" ht="14.25" hidden="false" customHeight="false" outlineLevel="0" collapsed="false">
      <c r="A665" s="13" t="n">
        <f aca="false">'Match Results'!A167</f>
        <v>45967</v>
      </c>
      <c r="B665" s="13" t="n">
        <f aca="false">'Match Results'!B665</f>
        <v>0</v>
      </c>
      <c r="C665" s="13" t="n">
        <f aca="false">C661+1</f>
        <v>167</v>
      </c>
      <c r="D665" s="13" t="n">
        <f aca="false">'Match Results'!H167</f>
        <v>0</v>
      </c>
      <c r="E665" s="13" t="str">
        <f aca="false">IF('Match Results'!F352&gt;'Match Results'!E352,"Win",IF('Match Results'!E351='Match Results'!F351,"Draw","Loss"))</f>
        <v>Draw</v>
      </c>
      <c r="F665" s="13" t="n">
        <f aca="false">IF(E665="Win",3,IF(E665="Draw",2,1))</f>
        <v>2</v>
      </c>
    </row>
    <row r="666" customFormat="false" ht="14.25" hidden="false" customHeight="false" outlineLevel="0" collapsed="false">
      <c r="A666" s="13" t="n">
        <f aca="false">'Match Results'!A168</f>
        <v>45967</v>
      </c>
      <c r="B666" s="13" t="n">
        <f aca="false">'Match Results'!B666</f>
        <v>0</v>
      </c>
      <c r="C666" s="13" t="n">
        <f aca="false">C662+1</f>
        <v>168</v>
      </c>
      <c r="D666" s="13" t="n">
        <f aca="false">'Match Results'!C168</f>
        <v>0</v>
      </c>
      <c r="E666" s="13" t="str">
        <f aca="false">IF('Match Results'!F353&gt;'Match Results'!E353,"Win",IF('Match Results'!E352='Match Results'!F352,"Draw","Loss"))</f>
        <v>Draw</v>
      </c>
      <c r="F666" s="13" t="n">
        <f aca="false">IF(E666="Win",3,IF(E666="Draw",2,1))</f>
        <v>2</v>
      </c>
    </row>
    <row r="667" customFormat="false" ht="14.25" hidden="false" customHeight="false" outlineLevel="0" collapsed="false">
      <c r="A667" s="13" t="n">
        <f aca="false">'Match Results'!A168</f>
        <v>45967</v>
      </c>
      <c r="B667" s="13" t="n">
        <f aca="false">'Match Results'!B667</f>
        <v>0</v>
      </c>
      <c r="C667" s="13" t="n">
        <f aca="false">C663+1</f>
        <v>168</v>
      </c>
      <c r="D667" s="13" t="n">
        <f aca="false">'Match Results'!D168</f>
        <v>0</v>
      </c>
      <c r="E667" s="13" t="str">
        <f aca="false">IF('Match Results'!F354&gt;'Match Results'!E354,"Win",IF('Match Results'!E353='Match Results'!F353,"Draw","Loss"))</f>
        <v>Draw</v>
      </c>
      <c r="F667" s="13" t="n">
        <f aca="false">IF(E667="Win",3,IF(E667="Draw",2,1))</f>
        <v>2</v>
      </c>
    </row>
    <row r="668" customFormat="false" ht="14.25" hidden="false" customHeight="false" outlineLevel="0" collapsed="false">
      <c r="A668" s="13" t="n">
        <f aca="false">'Match Results'!A168</f>
        <v>45967</v>
      </c>
      <c r="B668" s="13" t="n">
        <f aca="false">'Match Results'!B668</f>
        <v>0</v>
      </c>
      <c r="C668" s="13" t="n">
        <f aca="false">C664+1</f>
        <v>168</v>
      </c>
      <c r="D668" s="13" t="n">
        <f aca="false">'Match Results'!G168</f>
        <v>0</v>
      </c>
      <c r="E668" s="13" t="str">
        <f aca="false">IF('Match Results'!F355&gt;'Match Results'!E355,"Win",IF('Match Results'!E354='Match Results'!F354,"Draw","Loss"))</f>
        <v>Draw</v>
      </c>
      <c r="F668" s="13" t="n">
        <f aca="false">IF(E668="Win",3,IF(E668="Draw",2,1))</f>
        <v>2</v>
      </c>
    </row>
    <row r="669" customFormat="false" ht="14.25" hidden="false" customHeight="false" outlineLevel="0" collapsed="false">
      <c r="A669" s="13" t="n">
        <f aca="false">'Match Results'!A168</f>
        <v>45967</v>
      </c>
      <c r="B669" s="13" t="n">
        <f aca="false">'Match Results'!B669</f>
        <v>0</v>
      </c>
      <c r="C669" s="13" t="n">
        <f aca="false">C665+1</f>
        <v>168</v>
      </c>
      <c r="D669" s="13" t="n">
        <f aca="false">'Match Results'!H168</f>
        <v>0</v>
      </c>
      <c r="E669" s="13" t="str">
        <f aca="false">IF('Match Results'!F356&gt;'Match Results'!E356,"Win",IF('Match Results'!E355='Match Results'!F355,"Draw","Loss"))</f>
        <v>Draw</v>
      </c>
      <c r="F669" s="13" t="n">
        <f aca="false">IF(E669="Win",3,IF(E669="Draw",2,1))</f>
        <v>2</v>
      </c>
    </row>
    <row r="670" customFormat="false" ht="14.25" hidden="false" customHeight="false" outlineLevel="0" collapsed="false">
      <c r="A670" s="13" t="n">
        <f aca="false">'Match Results'!A169</f>
        <v>45967</v>
      </c>
      <c r="B670" s="13" t="n">
        <f aca="false">'Match Results'!B670</f>
        <v>0</v>
      </c>
      <c r="C670" s="13" t="n">
        <f aca="false">C666+1</f>
        <v>169</v>
      </c>
      <c r="D670" s="13" t="n">
        <f aca="false">'Match Results'!C169</f>
        <v>0</v>
      </c>
      <c r="E670" s="13" t="str">
        <f aca="false">IF('Match Results'!F357&gt;'Match Results'!E357,"Win",IF('Match Results'!E356='Match Results'!F356,"Draw","Loss"))</f>
        <v>Draw</v>
      </c>
      <c r="F670" s="13" t="n">
        <f aca="false">IF(E670="Win",3,IF(E670="Draw",2,1))</f>
        <v>2</v>
      </c>
    </row>
    <row r="671" customFormat="false" ht="14.25" hidden="false" customHeight="false" outlineLevel="0" collapsed="false">
      <c r="A671" s="13" t="n">
        <f aca="false">'Match Results'!A169</f>
        <v>45967</v>
      </c>
      <c r="B671" s="13" t="n">
        <f aca="false">'Match Results'!B671</f>
        <v>0</v>
      </c>
      <c r="C671" s="13" t="n">
        <f aca="false">C667+1</f>
        <v>169</v>
      </c>
      <c r="D671" s="13" t="n">
        <f aca="false">'Match Results'!D169</f>
        <v>0</v>
      </c>
      <c r="E671" s="13" t="str">
        <f aca="false">IF('Match Results'!F358&gt;'Match Results'!E358,"Win",IF('Match Results'!E357='Match Results'!F357,"Draw","Loss"))</f>
        <v>Draw</v>
      </c>
      <c r="F671" s="13" t="n">
        <f aca="false">IF(E671="Win",3,IF(E671="Draw",2,1))</f>
        <v>2</v>
      </c>
    </row>
    <row r="672" customFormat="false" ht="14.25" hidden="false" customHeight="false" outlineLevel="0" collapsed="false">
      <c r="A672" s="13" t="n">
        <f aca="false">'Match Results'!A169</f>
        <v>45967</v>
      </c>
      <c r="B672" s="13" t="n">
        <f aca="false">'Match Results'!B672</f>
        <v>0</v>
      </c>
      <c r="C672" s="13" t="n">
        <f aca="false">C668+1</f>
        <v>169</v>
      </c>
      <c r="D672" s="13" t="n">
        <f aca="false">'Match Results'!G169</f>
        <v>0</v>
      </c>
      <c r="E672" s="13" t="str">
        <f aca="false">IF('Match Results'!F359&gt;'Match Results'!E359,"Win",IF('Match Results'!E358='Match Results'!F358,"Draw","Loss"))</f>
        <v>Draw</v>
      </c>
      <c r="F672" s="13" t="n">
        <f aca="false">IF(E672="Win",3,IF(E672="Draw",2,1))</f>
        <v>2</v>
      </c>
    </row>
    <row r="673" customFormat="false" ht="14.25" hidden="false" customHeight="false" outlineLevel="0" collapsed="false">
      <c r="A673" s="13" t="n">
        <f aca="false">'Match Results'!A169</f>
        <v>45967</v>
      </c>
      <c r="B673" s="13" t="n">
        <f aca="false">'Match Results'!B673</f>
        <v>0</v>
      </c>
      <c r="C673" s="13" t="n">
        <f aca="false">C669+1</f>
        <v>169</v>
      </c>
      <c r="D673" s="13" t="n">
        <f aca="false">'Match Results'!H169</f>
        <v>0</v>
      </c>
      <c r="E673" s="13" t="str">
        <f aca="false">IF('Match Results'!F360&gt;'Match Results'!E360,"Win",IF('Match Results'!E359='Match Results'!F359,"Draw","Loss"))</f>
        <v>Draw</v>
      </c>
      <c r="F673" s="13" t="n">
        <f aca="false">IF(E673="Win",3,IF(E673="Draw",2,1))</f>
        <v>2</v>
      </c>
    </row>
    <row r="674" customFormat="false" ht="14.25" hidden="false" customHeight="false" outlineLevel="0" collapsed="false">
      <c r="A674" s="13" t="n">
        <f aca="false">'Match Results'!A170</f>
        <v>45967</v>
      </c>
      <c r="B674" s="13" t="n">
        <f aca="false">'Match Results'!B674</f>
        <v>0</v>
      </c>
      <c r="C674" s="13" t="n">
        <f aca="false">C670+1</f>
        <v>170</v>
      </c>
      <c r="D674" s="13" t="n">
        <f aca="false">'Match Results'!C170</f>
        <v>0</v>
      </c>
      <c r="E674" s="13" t="str">
        <f aca="false">IF('Match Results'!F361&gt;'Match Results'!E361,"Win",IF('Match Results'!E360='Match Results'!F360,"Draw","Loss"))</f>
        <v>Draw</v>
      </c>
      <c r="F674" s="13" t="n">
        <f aca="false">IF(E674="Win",3,IF(E674="Draw",2,1))</f>
        <v>2</v>
      </c>
    </row>
    <row r="675" customFormat="false" ht="14.25" hidden="false" customHeight="false" outlineLevel="0" collapsed="false">
      <c r="A675" s="13" t="n">
        <f aca="false">'Match Results'!A170</f>
        <v>45967</v>
      </c>
      <c r="B675" s="13" t="n">
        <f aca="false">'Match Results'!B675</f>
        <v>0</v>
      </c>
      <c r="C675" s="13" t="n">
        <f aca="false">C671+1</f>
        <v>170</v>
      </c>
      <c r="D675" s="13" t="n">
        <f aca="false">'Match Results'!D170</f>
        <v>0</v>
      </c>
      <c r="E675" s="13" t="str">
        <f aca="false">IF('Match Results'!F362&gt;'Match Results'!E362,"Win",IF('Match Results'!E361='Match Results'!F361,"Draw","Loss"))</f>
        <v>Draw</v>
      </c>
      <c r="F675" s="13" t="n">
        <f aca="false">IF(E675="Win",3,IF(E675="Draw",2,1))</f>
        <v>2</v>
      </c>
    </row>
    <row r="676" customFormat="false" ht="14.25" hidden="false" customHeight="false" outlineLevel="0" collapsed="false">
      <c r="A676" s="13" t="n">
        <f aca="false">'Match Results'!A170</f>
        <v>45967</v>
      </c>
      <c r="B676" s="13" t="n">
        <f aca="false">'Match Results'!B676</f>
        <v>0</v>
      </c>
      <c r="C676" s="13" t="n">
        <f aca="false">C672+1</f>
        <v>170</v>
      </c>
      <c r="D676" s="13" t="n">
        <f aca="false">'Match Results'!G170</f>
        <v>0</v>
      </c>
      <c r="E676" s="13" t="str">
        <f aca="false">IF('Match Results'!F363&gt;'Match Results'!E363,"Win",IF('Match Results'!E362='Match Results'!F362,"Draw","Loss"))</f>
        <v>Draw</v>
      </c>
      <c r="F676" s="13" t="n">
        <f aca="false">IF(E676="Win",3,IF(E676="Draw",2,1))</f>
        <v>2</v>
      </c>
    </row>
    <row r="677" customFormat="false" ht="14.25" hidden="false" customHeight="false" outlineLevel="0" collapsed="false">
      <c r="A677" s="13" t="n">
        <f aca="false">'Match Results'!A170</f>
        <v>45967</v>
      </c>
      <c r="B677" s="13" t="n">
        <f aca="false">'Match Results'!B677</f>
        <v>0</v>
      </c>
      <c r="C677" s="13" t="n">
        <f aca="false">C673+1</f>
        <v>170</v>
      </c>
      <c r="D677" s="13" t="n">
        <f aca="false">'Match Results'!H170</f>
        <v>0</v>
      </c>
      <c r="E677" s="13" t="str">
        <f aca="false">IF('Match Results'!F364&gt;'Match Results'!E364,"Win",IF('Match Results'!E363='Match Results'!F363,"Draw","Loss"))</f>
        <v>Draw</v>
      </c>
      <c r="F677" s="13" t="n">
        <f aca="false">IF(E677="Win",3,IF(E677="Draw",2,1))</f>
        <v>2</v>
      </c>
    </row>
    <row r="678" customFormat="false" ht="14.25" hidden="false" customHeight="false" outlineLevel="0" collapsed="false">
      <c r="A678" s="13" t="n">
        <f aca="false">'Match Results'!A171</f>
        <v>45967</v>
      </c>
      <c r="B678" s="13" t="n">
        <f aca="false">'Match Results'!B678</f>
        <v>0</v>
      </c>
      <c r="C678" s="13" t="n">
        <f aca="false">C674+1</f>
        <v>171</v>
      </c>
      <c r="D678" s="13" t="n">
        <f aca="false">'Match Results'!C171</f>
        <v>0</v>
      </c>
      <c r="E678" s="13" t="str">
        <f aca="false">IF('Match Results'!F365&gt;'Match Results'!E365,"Win",IF('Match Results'!E364='Match Results'!F364,"Draw","Loss"))</f>
        <v>Draw</v>
      </c>
      <c r="F678" s="13" t="n">
        <f aca="false">IF(E678="Win",3,IF(E678="Draw",2,1))</f>
        <v>2</v>
      </c>
    </row>
    <row r="679" customFormat="false" ht="14.25" hidden="false" customHeight="false" outlineLevel="0" collapsed="false">
      <c r="A679" s="13" t="n">
        <f aca="false">'Match Results'!A171</f>
        <v>45967</v>
      </c>
      <c r="B679" s="13" t="n">
        <f aca="false">'Match Results'!B679</f>
        <v>0</v>
      </c>
      <c r="C679" s="13" t="n">
        <f aca="false">C675+1</f>
        <v>171</v>
      </c>
      <c r="D679" s="13" t="n">
        <f aca="false">'Match Results'!D171</f>
        <v>0</v>
      </c>
      <c r="E679" s="13" t="str">
        <f aca="false">IF('Match Results'!F366&gt;'Match Results'!E366,"Win",IF('Match Results'!E365='Match Results'!F365,"Draw","Loss"))</f>
        <v>Draw</v>
      </c>
      <c r="F679" s="13" t="n">
        <f aca="false">IF(E679="Win",3,IF(E679="Draw",2,1))</f>
        <v>2</v>
      </c>
    </row>
    <row r="680" customFormat="false" ht="14.25" hidden="false" customHeight="false" outlineLevel="0" collapsed="false">
      <c r="A680" s="13" t="n">
        <f aca="false">'Match Results'!A171</f>
        <v>45967</v>
      </c>
      <c r="B680" s="13" t="n">
        <f aca="false">'Match Results'!B680</f>
        <v>0</v>
      </c>
      <c r="C680" s="13" t="n">
        <f aca="false">C676+1</f>
        <v>171</v>
      </c>
      <c r="D680" s="13" t="n">
        <f aca="false">'Match Results'!G171</f>
        <v>0</v>
      </c>
      <c r="E680" s="13" t="str">
        <f aca="false">IF('Match Results'!F367&gt;'Match Results'!E367,"Win",IF('Match Results'!E366='Match Results'!F366,"Draw","Loss"))</f>
        <v>Draw</v>
      </c>
      <c r="F680" s="13" t="n">
        <f aca="false">IF(E680="Win",3,IF(E680="Draw",2,1))</f>
        <v>2</v>
      </c>
    </row>
    <row r="681" customFormat="false" ht="14.25" hidden="false" customHeight="false" outlineLevel="0" collapsed="false">
      <c r="A681" s="13" t="n">
        <f aca="false">'Match Results'!A171</f>
        <v>45967</v>
      </c>
      <c r="B681" s="13" t="n">
        <f aca="false">'Match Results'!B681</f>
        <v>0</v>
      </c>
      <c r="C681" s="13" t="n">
        <f aca="false">C677+1</f>
        <v>171</v>
      </c>
      <c r="D681" s="13" t="n">
        <f aca="false">'Match Results'!H171</f>
        <v>0</v>
      </c>
      <c r="E681" s="13" t="str">
        <f aca="false">IF('Match Results'!F368&gt;'Match Results'!E368,"Win",IF('Match Results'!E367='Match Results'!F367,"Draw","Loss"))</f>
        <v>Draw</v>
      </c>
      <c r="F681" s="13" t="n">
        <f aca="false">IF(E681="Win",3,IF(E681="Draw",2,1))</f>
        <v>2</v>
      </c>
    </row>
    <row r="682" customFormat="false" ht="14.25" hidden="false" customHeight="false" outlineLevel="0" collapsed="false">
      <c r="A682" s="13" t="n">
        <f aca="false">'Match Results'!A172</f>
        <v>45967</v>
      </c>
      <c r="B682" s="13" t="n">
        <f aca="false">'Match Results'!B682</f>
        <v>0</v>
      </c>
      <c r="C682" s="13" t="n">
        <f aca="false">C678+1</f>
        <v>172</v>
      </c>
      <c r="D682" s="13" t="n">
        <f aca="false">'Match Results'!C172</f>
        <v>0</v>
      </c>
      <c r="E682" s="13" t="str">
        <f aca="false">IF('Match Results'!F369&gt;'Match Results'!E369,"Win",IF('Match Results'!E368='Match Results'!F368,"Draw","Loss"))</f>
        <v>Draw</v>
      </c>
      <c r="F682" s="13" t="n">
        <f aca="false">IF(E682="Win",3,IF(E682="Draw",2,1))</f>
        <v>2</v>
      </c>
    </row>
    <row r="683" customFormat="false" ht="14.25" hidden="false" customHeight="false" outlineLevel="0" collapsed="false">
      <c r="A683" s="13" t="n">
        <f aca="false">'Match Results'!A172</f>
        <v>45967</v>
      </c>
      <c r="B683" s="13" t="n">
        <f aca="false">'Match Results'!B683</f>
        <v>0</v>
      </c>
      <c r="C683" s="13" t="n">
        <f aca="false">C679+1</f>
        <v>172</v>
      </c>
      <c r="D683" s="13" t="n">
        <f aca="false">'Match Results'!D172</f>
        <v>0</v>
      </c>
      <c r="E683" s="13" t="str">
        <f aca="false">IF('Match Results'!F370&gt;'Match Results'!E370,"Win",IF('Match Results'!E369='Match Results'!F369,"Draw","Loss"))</f>
        <v>Draw</v>
      </c>
      <c r="F683" s="13" t="n">
        <f aca="false">IF(E683="Win",3,IF(E683="Draw",2,1))</f>
        <v>2</v>
      </c>
    </row>
    <row r="684" customFormat="false" ht="14.25" hidden="false" customHeight="false" outlineLevel="0" collapsed="false">
      <c r="A684" s="13" t="n">
        <f aca="false">'Match Results'!A172</f>
        <v>45967</v>
      </c>
      <c r="B684" s="13" t="n">
        <f aca="false">'Match Results'!B684</f>
        <v>0</v>
      </c>
      <c r="C684" s="13" t="n">
        <f aca="false">C680+1</f>
        <v>172</v>
      </c>
      <c r="D684" s="13" t="n">
        <f aca="false">'Match Results'!G172</f>
        <v>0</v>
      </c>
      <c r="E684" s="13" t="str">
        <f aca="false">IF('Match Results'!F371&gt;'Match Results'!E371,"Win",IF('Match Results'!E370='Match Results'!F370,"Draw","Loss"))</f>
        <v>Draw</v>
      </c>
      <c r="F684" s="13" t="n">
        <f aca="false">IF(E684="Win",3,IF(E684="Draw",2,1))</f>
        <v>2</v>
      </c>
    </row>
    <row r="685" customFormat="false" ht="14.25" hidden="false" customHeight="false" outlineLevel="0" collapsed="false">
      <c r="A685" s="13" t="n">
        <f aca="false">'Match Results'!A172</f>
        <v>45967</v>
      </c>
      <c r="B685" s="13" t="n">
        <f aca="false">'Match Results'!B685</f>
        <v>0</v>
      </c>
      <c r="C685" s="13" t="n">
        <f aca="false">C681+1</f>
        <v>172</v>
      </c>
      <c r="D685" s="13" t="n">
        <f aca="false">'Match Results'!H172</f>
        <v>0</v>
      </c>
      <c r="E685" s="13" t="str">
        <f aca="false">IF('Match Results'!F372&gt;'Match Results'!E372,"Win",IF('Match Results'!E371='Match Results'!F371,"Draw","Loss"))</f>
        <v>Draw</v>
      </c>
      <c r="F685" s="13" t="n">
        <f aca="false">IF(E685="Win",3,IF(E685="Draw",2,1))</f>
        <v>2</v>
      </c>
    </row>
    <row r="686" customFormat="false" ht="14.25" hidden="false" customHeight="false" outlineLevel="0" collapsed="false">
      <c r="A686" s="13" t="n">
        <f aca="false">'Match Results'!A173</f>
        <v>45967</v>
      </c>
      <c r="B686" s="13" t="n">
        <f aca="false">'Match Results'!B686</f>
        <v>0</v>
      </c>
      <c r="C686" s="13" t="n">
        <f aca="false">C682+1</f>
        <v>173</v>
      </c>
      <c r="D686" s="13" t="n">
        <f aca="false">'Match Results'!C173</f>
        <v>0</v>
      </c>
      <c r="E686" s="13" t="str">
        <f aca="false">IF('Match Results'!F373&gt;'Match Results'!E373,"Win",IF('Match Results'!E372='Match Results'!F372,"Draw","Loss"))</f>
        <v>Draw</v>
      </c>
      <c r="F686" s="13" t="n">
        <f aca="false">IF(E686="Win",3,IF(E686="Draw",2,1))</f>
        <v>2</v>
      </c>
    </row>
    <row r="687" customFormat="false" ht="14.25" hidden="false" customHeight="false" outlineLevel="0" collapsed="false">
      <c r="A687" s="13" t="n">
        <f aca="false">'Match Results'!A173</f>
        <v>45967</v>
      </c>
      <c r="B687" s="13" t="n">
        <f aca="false">'Match Results'!B687</f>
        <v>0</v>
      </c>
      <c r="C687" s="13" t="n">
        <f aca="false">C683+1</f>
        <v>173</v>
      </c>
      <c r="D687" s="13" t="n">
        <f aca="false">'Match Results'!D173</f>
        <v>0</v>
      </c>
      <c r="E687" s="13" t="str">
        <f aca="false">IF('Match Results'!F374&gt;'Match Results'!E374,"Win",IF('Match Results'!E373='Match Results'!F373,"Draw","Loss"))</f>
        <v>Draw</v>
      </c>
      <c r="F687" s="13" t="n">
        <f aca="false">IF(E687="Win",3,IF(E687="Draw",2,1))</f>
        <v>2</v>
      </c>
    </row>
    <row r="688" customFormat="false" ht="14.25" hidden="false" customHeight="false" outlineLevel="0" collapsed="false">
      <c r="A688" s="13" t="n">
        <f aca="false">'Match Results'!A173</f>
        <v>45967</v>
      </c>
      <c r="B688" s="13" t="n">
        <f aca="false">'Match Results'!B688</f>
        <v>0</v>
      </c>
      <c r="C688" s="13" t="n">
        <f aca="false">C684+1</f>
        <v>173</v>
      </c>
      <c r="D688" s="13" t="n">
        <f aca="false">'Match Results'!G173</f>
        <v>0</v>
      </c>
      <c r="E688" s="13" t="str">
        <f aca="false">IF('Match Results'!F375&gt;'Match Results'!E375,"Win",IF('Match Results'!E374='Match Results'!F374,"Draw","Loss"))</f>
        <v>Draw</v>
      </c>
      <c r="F688" s="13" t="n">
        <f aca="false">IF(E688="Win",3,IF(E688="Draw",2,1))</f>
        <v>2</v>
      </c>
    </row>
    <row r="689" customFormat="false" ht="14.25" hidden="false" customHeight="false" outlineLevel="0" collapsed="false">
      <c r="A689" s="13" t="n">
        <f aca="false">'Match Results'!A173</f>
        <v>45967</v>
      </c>
      <c r="B689" s="13" t="n">
        <f aca="false">'Match Results'!B689</f>
        <v>0</v>
      </c>
      <c r="C689" s="13" t="n">
        <f aca="false">C685+1</f>
        <v>173</v>
      </c>
      <c r="D689" s="13" t="n">
        <f aca="false">'Match Results'!H173</f>
        <v>0</v>
      </c>
      <c r="E689" s="13" t="str">
        <f aca="false">IF('Match Results'!F376&gt;'Match Results'!E376,"Win",IF('Match Results'!E375='Match Results'!F375,"Draw","Loss"))</f>
        <v>Draw</v>
      </c>
      <c r="F689" s="13" t="n">
        <f aca="false">IF(E689="Win",3,IF(E689="Draw",2,1))</f>
        <v>2</v>
      </c>
    </row>
    <row r="690" customFormat="false" ht="14.25" hidden="false" customHeight="false" outlineLevel="0" collapsed="false">
      <c r="A690" s="13" t="n">
        <f aca="false">'Match Results'!A174</f>
        <v>45967</v>
      </c>
      <c r="B690" s="13" t="n">
        <f aca="false">'Match Results'!B690</f>
        <v>0</v>
      </c>
      <c r="C690" s="13" t="n">
        <f aca="false">C686+1</f>
        <v>174</v>
      </c>
      <c r="D690" s="13" t="n">
        <f aca="false">'Match Results'!C174</f>
        <v>0</v>
      </c>
      <c r="E690" s="13" t="str">
        <f aca="false">IF('Match Results'!F377&gt;'Match Results'!E377,"Win",IF('Match Results'!E376='Match Results'!F376,"Draw","Loss"))</f>
        <v>Draw</v>
      </c>
      <c r="F690" s="13" t="n">
        <f aca="false">IF(E690="Win",3,IF(E690="Draw",2,1))</f>
        <v>2</v>
      </c>
    </row>
    <row r="691" customFormat="false" ht="14.25" hidden="false" customHeight="false" outlineLevel="0" collapsed="false">
      <c r="A691" s="13" t="n">
        <f aca="false">'Match Results'!A174</f>
        <v>45967</v>
      </c>
      <c r="B691" s="13" t="n">
        <f aca="false">'Match Results'!B691</f>
        <v>0</v>
      </c>
      <c r="C691" s="13" t="n">
        <f aca="false">C687+1</f>
        <v>174</v>
      </c>
      <c r="D691" s="13" t="n">
        <f aca="false">'Match Results'!D174</f>
        <v>0</v>
      </c>
      <c r="E691" s="13" t="str">
        <f aca="false">IF('Match Results'!F378&gt;'Match Results'!E378,"Win",IF('Match Results'!E377='Match Results'!F377,"Draw","Loss"))</f>
        <v>Draw</v>
      </c>
      <c r="F691" s="13" t="n">
        <f aca="false">IF(E691="Win",3,IF(E691="Draw",2,1))</f>
        <v>2</v>
      </c>
    </row>
    <row r="692" customFormat="false" ht="14.25" hidden="false" customHeight="false" outlineLevel="0" collapsed="false">
      <c r="A692" s="13" t="n">
        <f aca="false">'Match Results'!A174</f>
        <v>45967</v>
      </c>
      <c r="B692" s="13" t="n">
        <f aca="false">'Match Results'!B692</f>
        <v>0</v>
      </c>
      <c r="C692" s="13" t="n">
        <f aca="false">C688+1</f>
        <v>174</v>
      </c>
      <c r="D692" s="13" t="n">
        <f aca="false">'Match Results'!G174</f>
        <v>0</v>
      </c>
      <c r="E692" s="13" t="str">
        <f aca="false">IF('Match Results'!F379&gt;'Match Results'!E379,"Win",IF('Match Results'!E378='Match Results'!F378,"Draw","Loss"))</f>
        <v>Draw</v>
      </c>
      <c r="F692" s="13" t="n">
        <f aca="false">IF(E692="Win",3,IF(E692="Draw",2,1))</f>
        <v>2</v>
      </c>
    </row>
    <row r="693" customFormat="false" ht="14.25" hidden="false" customHeight="false" outlineLevel="0" collapsed="false">
      <c r="A693" s="13" t="n">
        <f aca="false">'Match Results'!A174</f>
        <v>45967</v>
      </c>
      <c r="B693" s="13" t="n">
        <f aca="false">'Match Results'!B693</f>
        <v>0</v>
      </c>
      <c r="C693" s="13" t="n">
        <f aca="false">C689+1</f>
        <v>174</v>
      </c>
      <c r="D693" s="13" t="n">
        <f aca="false">'Match Results'!H174</f>
        <v>0</v>
      </c>
      <c r="E693" s="13" t="str">
        <f aca="false">IF('Match Results'!F380&gt;'Match Results'!E380,"Win",IF('Match Results'!E379='Match Results'!F379,"Draw","Loss"))</f>
        <v>Draw</v>
      </c>
      <c r="F693" s="13" t="n">
        <f aca="false">IF(E693="Win",3,IF(E693="Draw",2,1))</f>
        <v>2</v>
      </c>
    </row>
    <row r="694" customFormat="false" ht="14.25" hidden="false" customHeight="false" outlineLevel="0" collapsed="false">
      <c r="A694" s="13" t="n">
        <f aca="false">'Match Results'!A175</f>
        <v>45967</v>
      </c>
      <c r="B694" s="13" t="n">
        <f aca="false">'Match Results'!B694</f>
        <v>0</v>
      </c>
      <c r="C694" s="13" t="n">
        <f aca="false">C690+1</f>
        <v>175</v>
      </c>
      <c r="D694" s="13" t="n">
        <f aca="false">'Match Results'!C175</f>
        <v>0</v>
      </c>
      <c r="E694" s="13" t="str">
        <f aca="false">IF('Match Results'!F381&gt;'Match Results'!E381,"Win",IF('Match Results'!E380='Match Results'!F380,"Draw","Loss"))</f>
        <v>Draw</v>
      </c>
      <c r="F694" s="13" t="n">
        <f aca="false">IF(E694="Win",3,IF(E694="Draw",2,1))</f>
        <v>2</v>
      </c>
    </row>
    <row r="695" customFormat="false" ht="14.25" hidden="false" customHeight="false" outlineLevel="0" collapsed="false">
      <c r="A695" s="13" t="n">
        <f aca="false">'Match Results'!A175</f>
        <v>45967</v>
      </c>
      <c r="B695" s="13" t="n">
        <f aca="false">'Match Results'!B695</f>
        <v>0</v>
      </c>
      <c r="C695" s="13" t="n">
        <f aca="false">C691+1</f>
        <v>175</v>
      </c>
      <c r="D695" s="13" t="n">
        <f aca="false">'Match Results'!D175</f>
        <v>0</v>
      </c>
      <c r="E695" s="13" t="str">
        <f aca="false">IF('Match Results'!F382&gt;'Match Results'!E382,"Win",IF('Match Results'!E381='Match Results'!F381,"Draw","Loss"))</f>
        <v>Draw</v>
      </c>
      <c r="F695" s="13" t="n">
        <f aca="false">IF(E695="Win",3,IF(E695="Draw",2,1))</f>
        <v>2</v>
      </c>
    </row>
    <row r="696" customFormat="false" ht="14.25" hidden="false" customHeight="false" outlineLevel="0" collapsed="false">
      <c r="A696" s="13" t="n">
        <f aca="false">'Match Results'!A175</f>
        <v>45967</v>
      </c>
      <c r="B696" s="13" t="n">
        <f aca="false">'Match Results'!B696</f>
        <v>0</v>
      </c>
      <c r="C696" s="13" t="n">
        <f aca="false">C692+1</f>
        <v>175</v>
      </c>
      <c r="D696" s="13" t="n">
        <f aca="false">'Match Results'!G175</f>
        <v>0</v>
      </c>
      <c r="E696" s="13" t="str">
        <f aca="false">IF('Match Results'!F383&gt;'Match Results'!E383,"Win",IF('Match Results'!E382='Match Results'!F382,"Draw","Loss"))</f>
        <v>Draw</v>
      </c>
      <c r="F696" s="13" t="n">
        <f aca="false">IF(E696="Win",3,IF(E696="Draw",2,1))</f>
        <v>2</v>
      </c>
    </row>
    <row r="697" customFormat="false" ht="14.25" hidden="false" customHeight="false" outlineLevel="0" collapsed="false">
      <c r="A697" s="13" t="n">
        <f aca="false">'Match Results'!A175</f>
        <v>45967</v>
      </c>
      <c r="B697" s="13" t="n">
        <f aca="false">'Match Results'!B697</f>
        <v>0</v>
      </c>
      <c r="C697" s="13" t="n">
        <f aca="false">C693+1</f>
        <v>175</v>
      </c>
      <c r="D697" s="13" t="n">
        <f aca="false">'Match Results'!H175</f>
        <v>0</v>
      </c>
      <c r="E697" s="13" t="str">
        <f aca="false">IF('Match Results'!F384&gt;'Match Results'!E384,"Win",IF('Match Results'!E383='Match Results'!F383,"Draw","Loss"))</f>
        <v>Draw</v>
      </c>
      <c r="F697" s="13" t="n">
        <f aca="false">IF(E697="Win",3,IF(E697="Draw",2,1))</f>
        <v>2</v>
      </c>
    </row>
    <row r="698" customFormat="false" ht="14.25" hidden="false" customHeight="false" outlineLevel="0" collapsed="false">
      <c r="A698" s="13" t="n">
        <f aca="false">'Match Results'!A176</f>
        <v>45967</v>
      </c>
      <c r="B698" s="13" t="n">
        <f aca="false">'Match Results'!B698</f>
        <v>0</v>
      </c>
      <c r="C698" s="13" t="n">
        <f aca="false">C694+1</f>
        <v>176</v>
      </c>
      <c r="D698" s="13" t="n">
        <f aca="false">'Match Results'!C176</f>
        <v>0</v>
      </c>
      <c r="E698" s="13" t="str">
        <f aca="false">IF('Match Results'!F385&gt;'Match Results'!E385,"Win",IF('Match Results'!E384='Match Results'!F384,"Draw","Loss"))</f>
        <v>Draw</v>
      </c>
      <c r="F698" s="13" t="n">
        <f aca="false">IF(E698="Win",3,IF(E698="Draw",2,1))</f>
        <v>2</v>
      </c>
    </row>
    <row r="699" customFormat="false" ht="14.25" hidden="false" customHeight="false" outlineLevel="0" collapsed="false">
      <c r="A699" s="13" t="n">
        <f aca="false">'Match Results'!A176</f>
        <v>45967</v>
      </c>
      <c r="B699" s="13" t="n">
        <f aca="false">'Match Results'!B699</f>
        <v>0</v>
      </c>
      <c r="C699" s="13" t="n">
        <f aca="false">C695+1</f>
        <v>176</v>
      </c>
      <c r="D699" s="13" t="n">
        <f aca="false">'Match Results'!D176</f>
        <v>0</v>
      </c>
      <c r="E699" s="13" t="str">
        <f aca="false">IF('Match Results'!F386&gt;'Match Results'!E386,"Win",IF('Match Results'!E385='Match Results'!F385,"Draw","Loss"))</f>
        <v>Draw</v>
      </c>
      <c r="F699" s="13" t="n">
        <f aca="false">IF(E699="Win",3,IF(E699="Draw",2,1))</f>
        <v>2</v>
      </c>
    </row>
    <row r="700" customFormat="false" ht="14.25" hidden="false" customHeight="false" outlineLevel="0" collapsed="false">
      <c r="A700" s="13" t="n">
        <f aca="false">'Match Results'!A176</f>
        <v>45967</v>
      </c>
      <c r="B700" s="13" t="n">
        <f aca="false">'Match Results'!B700</f>
        <v>0</v>
      </c>
      <c r="C700" s="13" t="n">
        <f aca="false">C696+1</f>
        <v>176</v>
      </c>
      <c r="D700" s="13" t="n">
        <f aca="false">'Match Results'!G176</f>
        <v>0</v>
      </c>
      <c r="E700" s="13" t="str">
        <f aca="false">IF('Match Results'!F387&gt;'Match Results'!E387,"Win",IF('Match Results'!E386='Match Results'!F386,"Draw","Loss"))</f>
        <v>Draw</v>
      </c>
      <c r="F700" s="13" t="n">
        <f aca="false">IF(E700="Win",3,IF(E700="Draw",2,1))</f>
        <v>2</v>
      </c>
    </row>
    <row r="701" customFormat="false" ht="14.25" hidden="false" customHeight="false" outlineLevel="0" collapsed="false">
      <c r="A701" s="13" t="n">
        <f aca="false">'Match Results'!A176</f>
        <v>45967</v>
      </c>
      <c r="B701" s="13" t="n">
        <f aca="false">'Match Results'!B701</f>
        <v>0</v>
      </c>
      <c r="C701" s="13" t="n">
        <f aca="false">C697+1</f>
        <v>176</v>
      </c>
      <c r="D701" s="13" t="n">
        <f aca="false">'Match Results'!H176</f>
        <v>0</v>
      </c>
      <c r="E701" s="13" t="str">
        <f aca="false">IF('Match Results'!F388&gt;'Match Results'!E388,"Win",IF('Match Results'!E387='Match Results'!F387,"Draw","Loss"))</f>
        <v>Draw</v>
      </c>
      <c r="F701" s="13" t="n">
        <f aca="false">IF(E701="Win",3,IF(E701="Draw",2,1))</f>
        <v>2</v>
      </c>
    </row>
    <row r="702" customFormat="false" ht="14.25" hidden="false" customHeight="false" outlineLevel="0" collapsed="false">
      <c r="A702" s="13" t="n">
        <f aca="false">'Match Results'!A177</f>
        <v>45967</v>
      </c>
      <c r="B702" s="13" t="n">
        <f aca="false">'Match Results'!B702</f>
        <v>0</v>
      </c>
      <c r="C702" s="13" t="n">
        <f aca="false">C698+1</f>
        <v>177</v>
      </c>
      <c r="D702" s="13" t="n">
        <f aca="false">'Match Results'!C177</f>
        <v>0</v>
      </c>
      <c r="E702" s="13" t="str">
        <f aca="false">IF('Match Results'!F389&gt;'Match Results'!E389,"Win",IF('Match Results'!E388='Match Results'!F388,"Draw","Loss"))</f>
        <v>Draw</v>
      </c>
      <c r="F702" s="13" t="n">
        <f aca="false">IF(E702="Win",3,IF(E702="Draw",2,1))</f>
        <v>2</v>
      </c>
    </row>
    <row r="703" customFormat="false" ht="14.25" hidden="false" customHeight="false" outlineLevel="0" collapsed="false">
      <c r="A703" s="13" t="n">
        <f aca="false">'Match Results'!A177</f>
        <v>45967</v>
      </c>
      <c r="B703" s="13" t="n">
        <f aca="false">'Match Results'!B703</f>
        <v>0</v>
      </c>
      <c r="C703" s="13" t="n">
        <f aca="false">C699+1</f>
        <v>177</v>
      </c>
      <c r="D703" s="13" t="n">
        <f aca="false">'Match Results'!D177</f>
        <v>0</v>
      </c>
      <c r="E703" s="13" t="str">
        <f aca="false">IF('Match Results'!F390&gt;'Match Results'!E390,"Win",IF('Match Results'!E389='Match Results'!F389,"Draw","Loss"))</f>
        <v>Draw</v>
      </c>
      <c r="F703" s="13" t="n">
        <f aca="false">IF(E703="Win",3,IF(E703="Draw",2,1))</f>
        <v>2</v>
      </c>
    </row>
    <row r="704" customFormat="false" ht="14.25" hidden="false" customHeight="false" outlineLevel="0" collapsed="false">
      <c r="A704" s="13" t="n">
        <f aca="false">'Match Results'!A177</f>
        <v>45967</v>
      </c>
      <c r="B704" s="13" t="n">
        <f aca="false">'Match Results'!B704</f>
        <v>0</v>
      </c>
      <c r="C704" s="13" t="n">
        <f aca="false">C700+1</f>
        <v>177</v>
      </c>
      <c r="D704" s="13" t="n">
        <f aca="false">'Match Results'!G177</f>
        <v>0</v>
      </c>
      <c r="E704" s="13" t="str">
        <f aca="false">IF('Match Results'!F391&gt;'Match Results'!E391,"Win",IF('Match Results'!E390='Match Results'!F390,"Draw","Loss"))</f>
        <v>Draw</v>
      </c>
      <c r="F704" s="13" t="n">
        <f aca="false">IF(E704="Win",3,IF(E704="Draw",2,1))</f>
        <v>2</v>
      </c>
    </row>
    <row r="705" customFormat="false" ht="14.25" hidden="false" customHeight="false" outlineLevel="0" collapsed="false">
      <c r="A705" s="13" t="n">
        <f aca="false">'Match Results'!A177</f>
        <v>45967</v>
      </c>
      <c r="B705" s="13" t="n">
        <f aca="false">'Match Results'!B705</f>
        <v>0</v>
      </c>
      <c r="C705" s="13" t="n">
        <f aca="false">C701+1</f>
        <v>177</v>
      </c>
      <c r="D705" s="13" t="n">
        <f aca="false">'Match Results'!H177</f>
        <v>0</v>
      </c>
      <c r="E705" s="13" t="str">
        <f aca="false">IF('Match Results'!F392&gt;'Match Results'!E392,"Win",IF('Match Results'!E391='Match Results'!F391,"Draw","Loss"))</f>
        <v>Draw</v>
      </c>
      <c r="F705" s="13" t="n">
        <f aca="false">IF(E705="Win",3,IF(E705="Draw",2,1))</f>
        <v>2</v>
      </c>
    </row>
    <row r="706" customFormat="false" ht="14.25" hidden="false" customHeight="false" outlineLevel="0" collapsed="false">
      <c r="A706" s="13" t="n">
        <f aca="false">'Match Results'!A178</f>
        <v>45967</v>
      </c>
      <c r="B706" s="13" t="n">
        <f aca="false">'Match Results'!B706</f>
        <v>0</v>
      </c>
      <c r="C706" s="13" t="n">
        <f aca="false">C702+1</f>
        <v>178</v>
      </c>
      <c r="D706" s="13" t="n">
        <f aca="false">'Match Results'!C178</f>
        <v>0</v>
      </c>
      <c r="E706" s="13" t="str">
        <f aca="false">IF('Match Results'!F393&gt;'Match Results'!E393,"Win",IF('Match Results'!E392='Match Results'!F392,"Draw","Loss"))</f>
        <v>Draw</v>
      </c>
      <c r="F706" s="13" t="n">
        <f aca="false">IF(E706="Win",3,IF(E706="Draw",2,1))</f>
        <v>2</v>
      </c>
    </row>
    <row r="707" customFormat="false" ht="14.25" hidden="false" customHeight="false" outlineLevel="0" collapsed="false">
      <c r="A707" s="13" t="n">
        <f aca="false">'Match Results'!A178</f>
        <v>45967</v>
      </c>
      <c r="B707" s="13" t="n">
        <f aca="false">'Match Results'!B707</f>
        <v>0</v>
      </c>
      <c r="C707" s="13" t="n">
        <f aca="false">C703+1</f>
        <v>178</v>
      </c>
      <c r="D707" s="13" t="n">
        <f aca="false">'Match Results'!D178</f>
        <v>0</v>
      </c>
      <c r="E707" s="13" t="str">
        <f aca="false">IF('Match Results'!F394&gt;'Match Results'!E394,"Win",IF('Match Results'!E393='Match Results'!F393,"Draw","Loss"))</f>
        <v>Draw</v>
      </c>
      <c r="F707" s="13" t="n">
        <f aca="false">IF(E707="Win",3,IF(E707="Draw",2,1))</f>
        <v>2</v>
      </c>
    </row>
    <row r="708" customFormat="false" ht="14.25" hidden="false" customHeight="false" outlineLevel="0" collapsed="false">
      <c r="A708" s="13" t="n">
        <f aca="false">'Match Results'!A178</f>
        <v>45967</v>
      </c>
      <c r="B708" s="13" t="n">
        <f aca="false">'Match Results'!B708</f>
        <v>0</v>
      </c>
      <c r="C708" s="13" t="n">
        <f aca="false">C704+1</f>
        <v>178</v>
      </c>
      <c r="D708" s="13" t="n">
        <f aca="false">'Match Results'!G178</f>
        <v>0</v>
      </c>
      <c r="E708" s="13" t="str">
        <f aca="false">IF('Match Results'!F395&gt;'Match Results'!E395,"Win",IF('Match Results'!E394='Match Results'!F394,"Draw","Loss"))</f>
        <v>Draw</v>
      </c>
      <c r="F708" s="13" t="n">
        <f aca="false">IF(E708="Win",3,IF(E708="Draw",2,1))</f>
        <v>2</v>
      </c>
    </row>
    <row r="709" customFormat="false" ht="14.25" hidden="false" customHeight="false" outlineLevel="0" collapsed="false">
      <c r="A709" s="13" t="n">
        <f aca="false">'Match Results'!A178</f>
        <v>45967</v>
      </c>
      <c r="B709" s="13" t="n">
        <f aca="false">'Match Results'!B709</f>
        <v>0</v>
      </c>
      <c r="C709" s="13" t="n">
        <f aca="false">C705+1</f>
        <v>178</v>
      </c>
      <c r="D709" s="13" t="n">
        <f aca="false">'Match Results'!H178</f>
        <v>0</v>
      </c>
      <c r="E709" s="13" t="str">
        <f aca="false">IF('Match Results'!F396&gt;'Match Results'!E396,"Win",IF('Match Results'!E395='Match Results'!F395,"Draw","Loss"))</f>
        <v>Draw</v>
      </c>
      <c r="F709" s="13" t="n">
        <f aca="false">IF(E709="Win",3,IF(E709="Draw",2,1))</f>
        <v>2</v>
      </c>
    </row>
    <row r="710" customFormat="false" ht="14.25" hidden="false" customHeight="false" outlineLevel="0" collapsed="false">
      <c r="A710" s="13" t="n">
        <f aca="false">'Match Results'!A179</f>
        <v>45967</v>
      </c>
      <c r="B710" s="13" t="n">
        <f aca="false">'Match Results'!B710</f>
        <v>0</v>
      </c>
      <c r="C710" s="13" t="n">
        <f aca="false">C706+1</f>
        <v>179</v>
      </c>
      <c r="D710" s="13" t="n">
        <f aca="false">'Match Results'!C179</f>
        <v>0</v>
      </c>
      <c r="E710" s="13" t="str">
        <f aca="false">IF('Match Results'!F397&gt;'Match Results'!E397,"Win",IF('Match Results'!E396='Match Results'!F396,"Draw","Loss"))</f>
        <v>Draw</v>
      </c>
      <c r="F710" s="13" t="n">
        <f aca="false">IF(E710="Win",3,IF(E710="Draw",2,1))</f>
        <v>2</v>
      </c>
    </row>
    <row r="711" customFormat="false" ht="14.25" hidden="false" customHeight="false" outlineLevel="0" collapsed="false">
      <c r="A711" s="13" t="n">
        <f aca="false">'Match Results'!A179</f>
        <v>45967</v>
      </c>
      <c r="B711" s="13" t="n">
        <f aca="false">'Match Results'!B711</f>
        <v>0</v>
      </c>
      <c r="C711" s="13" t="n">
        <f aca="false">C707+1</f>
        <v>179</v>
      </c>
      <c r="D711" s="13" t="n">
        <f aca="false">'Match Results'!D179</f>
        <v>0</v>
      </c>
      <c r="E711" s="13" t="str">
        <f aca="false">IF('Match Results'!F398&gt;'Match Results'!E398,"Win",IF('Match Results'!E397='Match Results'!F397,"Draw","Loss"))</f>
        <v>Draw</v>
      </c>
      <c r="F711" s="13" t="n">
        <f aca="false">IF(E711="Win",3,IF(E711="Draw",2,1))</f>
        <v>2</v>
      </c>
    </row>
    <row r="712" customFormat="false" ht="14.25" hidden="false" customHeight="false" outlineLevel="0" collapsed="false">
      <c r="A712" s="13" t="n">
        <f aca="false">'Match Results'!A179</f>
        <v>45967</v>
      </c>
      <c r="B712" s="13" t="n">
        <f aca="false">'Match Results'!B712</f>
        <v>0</v>
      </c>
      <c r="C712" s="13" t="n">
        <f aca="false">C708+1</f>
        <v>179</v>
      </c>
      <c r="D712" s="13" t="n">
        <f aca="false">'Match Results'!G179</f>
        <v>0</v>
      </c>
      <c r="E712" s="13" t="str">
        <f aca="false">IF('Match Results'!F399&gt;'Match Results'!E399,"Win",IF('Match Results'!E398='Match Results'!F398,"Draw","Loss"))</f>
        <v>Draw</v>
      </c>
      <c r="F712" s="13" t="n">
        <f aca="false">IF(E712="Win",3,IF(E712="Draw",2,1))</f>
        <v>2</v>
      </c>
    </row>
    <row r="713" customFormat="false" ht="14.25" hidden="false" customHeight="false" outlineLevel="0" collapsed="false">
      <c r="A713" s="13" t="n">
        <f aca="false">'Match Results'!A179</f>
        <v>45967</v>
      </c>
      <c r="B713" s="13" t="n">
        <f aca="false">'Match Results'!B713</f>
        <v>0</v>
      </c>
      <c r="C713" s="13" t="n">
        <f aca="false">C709+1</f>
        <v>179</v>
      </c>
      <c r="D713" s="13" t="n">
        <f aca="false">'Match Results'!H179</f>
        <v>0</v>
      </c>
      <c r="E713" s="13" t="str">
        <f aca="false">IF('Match Results'!F400&gt;'Match Results'!E400,"Win",IF('Match Results'!E399='Match Results'!F399,"Draw","Loss"))</f>
        <v>Draw</v>
      </c>
      <c r="F713" s="13" t="n">
        <f aca="false">IF(E713="Win",3,IF(E713="Draw",2,1))</f>
        <v>2</v>
      </c>
    </row>
    <row r="714" customFormat="false" ht="14.25" hidden="false" customHeight="false" outlineLevel="0" collapsed="false">
      <c r="A714" s="13" t="n">
        <f aca="false">'Match Results'!A180</f>
        <v>45967</v>
      </c>
      <c r="B714" s="13" t="n">
        <f aca="false">'Match Results'!B714</f>
        <v>0</v>
      </c>
      <c r="C714" s="13" t="n">
        <f aca="false">C710+1</f>
        <v>180</v>
      </c>
      <c r="D714" s="13" t="n">
        <f aca="false">'Match Results'!C180</f>
        <v>0</v>
      </c>
      <c r="E714" s="13" t="str">
        <f aca="false">IF('Match Results'!F401&gt;'Match Results'!E401,"Win",IF('Match Results'!E400='Match Results'!F400,"Draw","Loss"))</f>
        <v>Draw</v>
      </c>
      <c r="F714" s="13" t="n">
        <f aca="false">IF(E714="Win",3,IF(E714="Draw",2,1))</f>
        <v>2</v>
      </c>
    </row>
    <row r="715" customFormat="false" ht="14.25" hidden="false" customHeight="false" outlineLevel="0" collapsed="false">
      <c r="A715" s="13" t="n">
        <f aca="false">'Match Results'!A180</f>
        <v>45967</v>
      </c>
      <c r="B715" s="13" t="n">
        <f aca="false">'Match Results'!B715</f>
        <v>0</v>
      </c>
      <c r="C715" s="13" t="n">
        <f aca="false">C711+1</f>
        <v>180</v>
      </c>
      <c r="D715" s="13" t="n">
        <f aca="false">'Match Results'!D180</f>
        <v>0</v>
      </c>
      <c r="E715" s="13" t="str">
        <f aca="false">IF('Match Results'!F402&gt;'Match Results'!E402,"Win",IF('Match Results'!E401='Match Results'!F401,"Draw","Loss"))</f>
        <v>Draw</v>
      </c>
      <c r="F715" s="13" t="n">
        <f aca="false">IF(E715="Win",3,IF(E715="Draw",2,1))</f>
        <v>2</v>
      </c>
    </row>
    <row r="716" customFormat="false" ht="14.25" hidden="false" customHeight="false" outlineLevel="0" collapsed="false">
      <c r="A716" s="13" t="n">
        <f aca="false">'Match Results'!A180</f>
        <v>45967</v>
      </c>
      <c r="B716" s="13" t="n">
        <f aca="false">'Match Results'!B716</f>
        <v>0</v>
      </c>
      <c r="C716" s="13" t="n">
        <f aca="false">C712+1</f>
        <v>180</v>
      </c>
      <c r="D716" s="13" t="n">
        <f aca="false">'Match Results'!G180</f>
        <v>0</v>
      </c>
      <c r="E716" s="13" t="str">
        <f aca="false">IF('Match Results'!F403&gt;'Match Results'!E403,"Win",IF('Match Results'!E402='Match Results'!F402,"Draw","Loss"))</f>
        <v>Draw</v>
      </c>
      <c r="F716" s="13" t="n">
        <f aca="false">IF(E716="Win",3,IF(E716="Draw",2,1))</f>
        <v>2</v>
      </c>
    </row>
    <row r="717" customFormat="false" ht="14.25" hidden="false" customHeight="false" outlineLevel="0" collapsed="false">
      <c r="A717" s="13" t="n">
        <f aca="false">'Match Results'!A180</f>
        <v>45967</v>
      </c>
      <c r="B717" s="13" t="n">
        <f aca="false">'Match Results'!B717</f>
        <v>0</v>
      </c>
      <c r="C717" s="13" t="n">
        <f aca="false">C713+1</f>
        <v>180</v>
      </c>
      <c r="D717" s="13" t="n">
        <f aca="false">'Match Results'!H180</f>
        <v>0</v>
      </c>
      <c r="E717" s="13" t="str">
        <f aca="false">IF('Match Results'!F404&gt;'Match Results'!E404,"Win",IF('Match Results'!E403='Match Results'!F403,"Draw","Loss"))</f>
        <v>Draw</v>
      </c>
      <c r="F717" s="13" t="n">
        <f aca="false">IF(E717="Win",3,IF(E717="Draw",2,1))</f>
        <v>2</v>
      </c>
    </row>
    <row r="718" customFormat="false" ht="14.25" hidden="false" customHeight="false" outlineLevel="0" collapsed="false">
      <c r="A718" s="13" t="n">
        <f aca="false">'Match Results'!A181</f>
        <v>45967</v>
      </c>
      <c r="B718" s="13" t="n">
        <f aca="false">'Match Results'!B718</f>
        <v>0</v>
      </c>
      <c r="C718" s="13" t="n">
        <f aca="false">C714+1</f>
        <v>181</v>
      </c>
      <c r="D718" s="13" t="n">
        <f aca="false">'Match Results'!C181</f>
        <v>0</v>
      </c>
      <c r="E718" s="13" t="str">
        <f aca="false">IF('Match Results'!F405&gt;'Match Results'!E405,"Win",IF('Match Results'!E404='Match Results'!F404,"Draw","Loss"))</f>
        <v>Draw</v>
      </c>
      <c r="F718" s="13" t="n">
        <f aca="false">IF(E718="Win",3,IF(E718="Draw",2,1))</f>
        <v>2</v>
      </c>
    </row>
    <row r="719" customFormat="false" ht="14.25" hidden="false" customHeight="false" outlineLevel="0" collapsed="false">
      <c r="A719" s="13" t="n">
        <f aca="false">'Match Results'!A181</f>
        <v>45967</v>
      </c>
      <c r="B719" s="13" t="n">
        <f aca="false">'Match Results'!B719</f>
        <v>0</v>
      </c>
      <c r="C719" s="13" t="n">
        <f aca="false">C715+1</f>
        <v>181</v>
      </c>
      <c r="D719" s="13" t="n">
        <f aca="false">'Match Results'!D181</f>
        <v>0</v>
      </c>
      <c r="E719" s="13" t="str">
        <f aca="false">IF('Match Results'!F406&gt;'Match Results'!E406,"Win",IF('Match Results'!E405='Match Results'!F405,"Draw","Loss"))</f>
        <v>Draw</v>
      </c>
      <c r="F719" s="13" t="n">
        <f aca="false">IF(E719="Win",3,IF(E719="Draw",2,1))</f>
        <v>2</v>
      </c>
    </row>
    <row r="720" customFormat="false" ht="14.25" hidden="false" customHeight="false" outlineLevel="0" collapsed="false">
      <c r="A720" s="13" t="n">
        <f aca="false">'Match Results'!A181</f>
        <v>45967</v>
      </c>
      <c r="B720" s="13" t="n">
        <f aca="false">'Match Results'!B720</f>
        <v>0</v>
      </c>
      <c r="C720" s="13" t="n">
        <f aca="false">C716+1</f>
        <v>181</v>
      </c>
      <c r="D720" s="13" t="n">
        <f aca="false">'Match Results'!G181</f>
        <v>0</v>
      </c>
      <c r="E720" s="13" t="str">
        <f aca="false">IF('Match Results'!F407&gt;'Match Results'!E407,"Win",IF('Match Results'!E406='Match Results'!F406,"Draw","Loss"))</f>
        <v>Draw</v>
      </c>
      <c r="F720" s="13" t="n">
        <f aca="false">IF(E720="Win",3,IF(E720="Draw",2,1))</f>
        <v>2</v>
      </c>
    </row>
    <row r="721" customFormat="false" ht="14.25" hidden="false" customHeight="false" outlineLevel="0" collapsed="false">
      <c r="A721" s="13" t="n">
        <f aca="false">'Match Results'!A181</f>
        <v>45967</v>
      </c>
      <c r="B721" s="13" t="n">
        <f aca="false">'Match Results'!B721</f>
        <v>0</v>
      </c>
      <c r="C721" s="13" t="n">
        <f aca="false">C717+1</f>
        <v>181</v>
      </c>
      <c r="D721" s="13" t="n">
        <f aca="false">'Match Results'!H181</f>
        <v>0</v>
      </c>
      <c r="E721" s="13" t="str">
        <f aca="false">IF('Match Results'!F408&gt;'Match Results'!E408,"Win",IF('Match Results'!E407='Match Results'!F407,"Draw","Loss"))</f>
        <v>Draw</v>
      </c>
      <c r="F721" s="13" t="n">
        <f aca="false">IF(E721="Win",3,IF(E721="Draw",2,1))</f>
        <v>2</v>
      </c>
    </row>
    <row r="722" customFormat="false" ht="14.25" hidden="false" customHeight="false" outlineLevel="0" collapsed="false">
      <c r="A722" s="13" t="n">
        <f aca="false">'Match Results'!A182</f>
        <v>45974</v>
      </c>
      <c r="B722" s="13" t="n">
        <f aca="false">'Match Results'!B722</f>
        <v>0</v>
      </c>
      <c r="C722" s="13" t="n">
        <f aca="false">C718+1</f>
        <v>182</v>
      </c>
      <c r="D722" s="13" t="n">
        <f aca="false">'Match Results'!C182</f>
        <v>0</v>
      </c>
      <c r="E722" s="13" t="str">
        <f aca="false">IF('Match Results'!F409&gt;'Match Results'!E409,"Win",IF('Match Results'!E408='Match Results'!F408,"Draw","Loss"))</f>
        <v>Draw</v>
      </c>
      <c r="F722" s="13" t="n">
        <f aca="false">IF(E722="Win",3,IF(E722="Draw",2,1))</f>
        <v>2</v>
      </c>
    </row>
    <row r="723" customFormat="false" ht="14.25" hidden="false" customHeight="false" outlineLevel="0" collapsed="false">
      <c r="A723" s="13" t="n">
        <f aca="false">'Match Results'!A182</f>
        <v>45974</v>
      </c>
      <c r="B723" s="13" t="n">
        <f aca="false">'Match Results'!B723</f>
        <v>0</v>
      </c>
      <c r="C723" s="13" t="n">
        <f aca="false">C719+1</f>
        <v>182</v>
      </c>
      <c r="D723" s="13" t="n">
        <f aca="false">'Match Results'!D182</f>
        <v>0</v>
      </c>
      <c r="E723" s="13" t="str">
        <f aca="false">IF('Match Results'!F410&gt;'Match Results'!E410,"Win",IF('Match Results'!E409='Match Results'!F409,"Draw","Loss"))</f>
        <v>Draw</v>
      </c>
      <c r="F723" s="13" t="n">
        <f aca="false">IF(E723="Win",3,IF(E723="Draw",2,1))</f>
        <v>2</v>
      </c>
    </row>
    <row r="724" customFormat="false" ht="14.25" hidden="false" customHeight="false" outlineLevel="0" collapsed="false">
      <c r="A724" s="13" t="n">
        <f aca="false">'Match Results'!A182</f>
        <v>45974</v>
      </c>
      <c r="B724" s="13" t="n">
        <f aca="false">'Match Results'!B724</f>
        <v>0</v>
      </c>
      <c r="C724" s="13" t="n">
        <f aca="false">C720+1</f>
        <v>182</v>
      </c>
      <c r="D724" s="13" t="n">
        <f aca="false">'Match Results'!G182</f>
        <v>0</v>
      </c>
      <c r="E724" s="13" t="str">
        <f aca="false">IF('Match Results'!F411&gt;'Match Results'!E411,"Win",IF('Match Results'!E410='Match Results'!F410,"Draw","Loss"))</f>
        <v>Draw</v>
      </c>
      <c r="F724" s="13" t="n">
        <f aca="false">IF(E724="Win",3,IF(E724="Draw",2,1))</f>
        <v>2</v>
      </c>
    </row>
    <row r="725" customFormat="false" ht="14.25" hidden="false" customHeight="false" outlineLevel="0" collapsed="false">
      <c r="A725" s="13" t="n">
        <f aca="false">'Match Results'!A182</f>
        <v>45974</v>
      </c>
      <c r="B725" s="13" t="n">
        <f aca="false">'Match Results'!B725</f>
        <v>0</v>
      </c>
      <c r="C725" s="13" t="n">
        <f aca="false">C721+1</f>
        <v>182</v>
      </c>
      <c r="D725" s="13" t="n">
        <f aca="false">'Match Results'!H182</f>
        <v>0</v>
      </c>
      <c r="E725" s="13" t="str">
        <f aca="false">IF('Match Results'!F412&gt;'Match Results'!E412,"Win",IF('Match Results'!E411='Match Results'!F411,"Draw","Loss"))</f>
        <v>Draw</v>
      </c>
      <c r="F725" s="13" t="n">
        <f aca="false">IF(E725="Win",3,IF(E725="Draw",2,1))</f>
        <v>2</v>
      </c>
    </row>
    <row r="726" customFormat="false" ht="14.25" hidden="false" customHeight="false" outlineLevel="0" collapsed="false">
      <c r="A726" s="13" t="n">
        <f aca="false">'Match Results'!A183</f>
        <v>45967</v>
      </c>
      <c r="B726" s="13" t="n">
        <f aca="false">'Match Results'!B726</f>
        <v>0</v>
      </c>
      <c r="C726" s="13" t="n">
        <f aca="false">C722+1</f>
        <v>183</v>
      </c>
      <c r="D726" s="13" t="n">
        <f aca="false">'Match Results'!C183</f>
        <v>0</v>
      </c>
      <c r="E726" s="13" t="str">
        <f aca="false">IF('Match Results'!F413&gt;'Match Results'!E413,"Win",IF('Match Results'!E412='Match Results'!F412,"Draw","Loss"))</f>
        <v>Draw</v>
      </c>
      <c r="F726" s="13" t="n">
        <f aca="false">IF(E726="Win",3,IF(E726="Draw",2,1))</f>
        <v>2</v>
      </c>
    </row>
    <row r="727" customFormat="false" ht="14.25" hidden="false" customHeight="false" outlineLevel="0" collapsed="false">
      <c r="A727" s="13" t="n">
        <f aca="false">'Match Results'!A183</f>
        <v>45967</v>
      </c>
      <c r="B727" s="13" t="n">
        <f aca="false">'Match Results'!B727</f>
        <v>0</v>
      </c>
      <c r="C727" s="13" t="n">
        <f aca="false">C723+1</f>
        <v>183</v>
      </c>
      <c r="D727" s="13" t="n">
        <f aca="false">'Match Results'!D183</f>
        <v>0</v>
      </c>
      <c r="E727" s="13" t="str">
        <f aca="false">IF('Match Results'!F414&gt;'Match Results'!E414,"Win",IF('Match Results'!E413='Match Results'!F413,"Draw","Loss"))</f>
        <v>Draw</v>
      </c>
      <c r="F727" s="13" t="n">
        <f aca="false">IF(E727="Win",3,IF(E727="Draw",2,1))</f>
        <v>2</v>
      </c>
    </row>
    <row r="728" customFormat="false" ht="14.25" hidden="false" customHeight="false" outlineLevel="0" collapsed="false">
      <c r="A728" s="13" t="n">
        <f aca="false">'Match Results'!A183</f>
        <v>45967</v>
      </c>
      <c r="B728" s="13" t="n">
        <f aca="false">'Match Results'!B728</f>
        <v>0</v>
      </c>
      <c r="C728" s="13" t="n">
        <f aca="false">C724+1</f>
        <v>183</v>
      </c>
      <c r="D728" s="13" t="n">
        <f aca="false">'Match Results'!G183</f>
        <v>0</v>
      </c>
      <c r="E728" s="13" t="str">
        <f aca="false">IF('Match Results'!F415&gt;'Match Results'!E415,"Win",IF('Match Results'!E414='Match Results'!F414,"Draw","Loss"))</f>
        <v>Draw</v>
      </c>
      <c r="F728" s="13" t="n">
        <f aca="false">IF(E728="Win",3,IF(E728="Draw",2,1))</f>
        <v>2</v>
      </c>
    </row>
    <row r="729" customFormat="false" ht="14.25" hidden="false" customHeight="false" outlineLevel="0" collapsed="false">
      <c r="A729" s="13" t="n">
        <f aca="false">'Match Results'!A183</f>
        <v>45967</v>
      </c>
      <c r="B729" s="13" t="n">
        <f aca="false">'Match Results'!B729</f>
        <v>0</v>
      </c>
      <c r="C729" s="13" t="n">
        <f aca="false">C725+1</f>
        <v>183</v>
      </c>
      <c r="D729" s="13" t="n">
        <f aca="false">'Match Results'!H183</f>
        <v>0</v>
      </c>
      <c r="E729" s="13" t="str">
        <f aca="false">IF('Match Results'!F416&gt;'Match Results'!E416,"Win",IF('Match Results'!E415='Match Results'!F415,"Draw","Loss"))</f>
        <v>Draw</v>
      </c>
      <c r="F729" s="13" t="n">
        <f aca="false">IF(E729="Win",3,IF(E729="Draw",2,1))</f>
        <v>2</v>
      </c>
    </row>
    <row r="730" customFormat="false" ht="14.25" hidden="false" customHeight="false" outlineLevel="0" collapsed="false">
      <c r="A730" s="13" t="n">
        <f aca="false">'Match Results'!A184</f>
        <v>45967</v>
      </c>
      <c r="B730" s="13" t="n">
        <f aca="false">'Match Results'!B730</f>
        <v>0</v>
      </c>
      <c r="C730" s="13" t="n">
        <f aca="false">C726+1</f>
        <v>184</v>
      </c>
      <c r="D730" s="13" t="n">
        <f aca="false">'Match Results'!C184</f>
        <v>0</v>
      </c>
      <c r="E730" s="13" t="str">
        <f aca="false">IF('Match Results'!F417&gt;'Match Results'!E417,"Win",IF('Match Results'!E416='Match Results'!F416,"Draw","Loss"))</f>
        <v>Draw</v>
      </c>
      <c r="F730" s="13" t="n">
        <f aca="false">IF(E730="Win",3,IF(E730="Draw",2,1))</f>
        <v>2</v>
      </c>
    </row>
    <row r="731" customFormat="false" ht="14.25" hidden="false" customHeight="false" outlineLevel="0" collapsed="false">
      <c r="A731" s="13" t="n">
        <f aca="false">'Match Results'!A184</f>
        <v>45967</v>
      </c>
      <c r="B731" s="13" t="n">
        <f aca="false">'Match Results'!B731</f>
        <v>0</v>
      </c>
      <c r="C731" s="13" t="n">
        <f aca="false">C727+1</f>
        <v>184</v>
      </c>
      <c r="D731" s="13" t="n">
        <f aca="false">'Match Results'!D184</f>
        <v>0</v>
      </c>
      <c r="E731" s="13" t="str">
        <f aca="false">IF('Match Results'!F418&gt;'Match Results'!E418,"Win",IF('Match Results'!E417='Match Results'!F417,"Draw","Loss"))</f>
        <v>Draw</v>
      </c>
      <c r="F731" s="13" t="n">
        <f aca="false">IF(E731="Win",3,IF(E731="Draw",2,1))</f>
        <v>2</v>
      </c>
    </row>
    <row r="732" customFormat="false" ht="14.25" hidden="false" customHeight="false" outlineLevel="0" collapsed="false">
      <c r="A732" s="13" t="n">
        <f aca="false">'Match Results'!A184</f>
        <v>45967</v>
      </c>
      <c r="B732" s="13" t="n">
        <f aca="false">'Match Results'!B732</f>
        <v>0</v>
      </c>
      <c r="C732" s="13" t="n">
        <f aca="false">C728+1</f>
        <v>184</v>
      </c>
      <c r="D732" s="13" t="n">
        <f aca="false">'Match Results'!G184</f>
        <v>0</v>
      </c>
      <c r="E732" s="13" t="str">
        <f aca="false">IF('Match Results'!F419&gt;'Match Results'!E419,"Win",IF('Match Results'!E418='Match Results'!F418,"Draw","Loss"))</f>
        <v>Draw</v>
      </c>
      <c r="F732" s="13" t="n">
        <f aca="false">IF(E732="Win",3,IF(E732="Draw",2,1))</f>
        <v>2</v>
      </c>
    </row>
    <row r="733" customFormat="false" ht="14.25" hidden="false" customHeight="false" outlineLevel="0" collapsed="false">
      <c r="A733" s="13" t="n">
        <f aca="false">'Match Results'!A184</f>
        <v>45967</v>
      </c>
      <c r="B733" s="13" t="n">
        <f aca="false">'Match Results'!B733</f>
        <v>0</v>
      </c>
      <c r="C733" s="13" t="n">
        <f aca="false">C729+1</f>
        <v>184</v>
      </c>
      <c r="D733" s="13" t="n">
        <f aca="false">'Match Results'!H184</f>
        <v>0</v>
      </c>
      <c r="E733" s="13" t="str">
        <f aca="false">IF('Match Results'!F420&gt;'Match Results'!E420,"Win",IF('Match Results'!E419='Match Results'!F419,"Draw","Loss"))</f>
        <v>Draw</v>
      </c>
      <c r="F733" s="13" t="n">
        <f aca="false">IF(E733="Win",3,IF(E733="Draw",2,1))</f>
        <v>2</v>
      </c>
    </row>
    <row r="734" customFormat="false" ht="14.25" hidden="false" customHeight="false" outlineLevel="0" collapsed="false">
      <c r="A734" s="13" t="n">
        <f aca="false">'Match Results'!A185</f>
        <v>45967</v>
      </c>
      <c r="B734" s="13" t="n">
        <f aca="false">'Match Results'!B734</f>
        <v>0</v>
      </c>
      <c r="C734" s="13" t="n">
        <f aca="false">C730+1</f>
        <v>185</v>
      </c>
      <c r="D734" s="13" t="n">
        <f aca="false">'Match Results'!C185</f>
        <v>0</v>
      </c>
      <c r="E734" s="13" t="str">
        <f aca="false">IF('Match Results'!F421&gt;'Match Results'!E421,"Win",IF('Match Results'!E420='Match Results'!F420,"Draw","Loss"))</f>
        <v>Draw</v>
      </c>
      <c r="F734" s="13" t="n">
        <f aca="false">IF(E734="Win",3,IF(E734="Draw",2,1))</f>
        <v>2</v>
      </c>
    </row>
    <row r="735" customFormat="false" ht="14.25" hidden="false" customHeight="false" outlineLevel="0" collapsed="false">
      <c r="A735" s="13" t="n">
        <f aca="false">'Match Results'!A185</f>
        <v>45967</v>
      </c>
      <c r="B735" s="13" t="n">
        <f aca="false">'Match Results'!B735</f>
        <v>0</v>
      </c>
      <c r="C735" s="13" t="n">
        <f aca="false">C731+1</f>
        <v>185</v>
      </c>
      <c r="D735" s="13" t="n">
        <f aca="false">'Match Results'!D185</f>
        <v>0</v>
      </c>
      <c r="E735" s="13" t="str">
        <f aca="false">IF('Match Results'!F422&gt;'Match Results'!E422,"Win",IF('Match Results'!E421='Match Results'!F421,"Draw","Loss"))</f>
        <v>Draw</v>
      </c>
      <c r="F735" s="13" t="n">
        <f aca="false">IF(E735="Win",3,IF(E735="Draw",2,1))</f>
        <v>2</v>
      </c>
    </row>
    <row r="736" customFormat="false" ht="14.25" hidden="false" customHeight="false" outlineLevel="0" collapsed="false">
      <c r="A736" s="13" t="n">
        <f aca="false">'Match Results'!A185</f>
        <v>45967</v>
      </c>
      <c r="B736" s="13" t="n">
        <f aca="false">'Match Results'!B736</f>
        <v>0</v>
      </c>
      <c r="C736" s="13" t="n">
        <f aca="false">C732+1</f>
        <v>185</v>
      </c>
      <c r="D736" s="13" t="n">
        <f aca="false">'Match Results'!G185</f>
        <v>0</v>
      </c>
      <c r="E736" s="13" t="str">
        <f aca="false">IF('Match Results'!F423&gt;'Match Results'!E423,"Win",IF('Match Results'!E422='Match Results'!F422,"Draw","Loss"))</f>
        <v>Draw</v>
      </c>
      <c r="F736" s="13" t="n">
        <f aca="false">IF(E736="Win",3,IF(E736="Draw",2,1))</f>
        <v>2</v>
      </c>
    </row>
    <row r="737" customFormat="false" ht="14.25" hidden="false" customHeight="false" outlineLevel="0" collapsed="false">
      <c r="A737" s="13" t="n">
        <f aca="false">'Match Results'!A185</f>
        <v>45967</v>
      </c>
      <c r="B737" s="13" t="n">
        <f aca="false">'Match Results'!B737</f>
        <v>0</v>
      </c>
      <c r="C737" s="13" t="n">
        <f aca="false">C733+1</f>
        <v>185</v>
      </c>
      <c r="D737" s="13" t="n">
        <f aca="false">'Match Results'!H185</f>
        <v>0</v>
      </c>
      <c r="E737" s="13" t="str">
        <f aca="false">IF('Match Results'!F424&gt;'Match Results'!E424,"Win",IF('Match Results'!E423='Match Results'!F423,"Draw","Loss"))</f>
        <v>Draw</v>
      </c>
      <c r="F737" s="13" t="n">
        <f aca="false">IF(E737="Win",3,IF(E737="Draw",2,1))</f>
        <v>2</v>
      </c>
    </row>
    <row r="738" customFormat="false" ht="14.25" hidden="false" customHeight="false" outlineLevel="0" collapsed="false">
      <c r="A738" s="13" t="n">
        <f aca="false">'Match Results'!A186</f>
        <v>45967</v>
      </c>
      <c r="B738" s="13" t="n">
        <f aca="false">'Match Results'!B738</f>
        <v>0</v>
      </c>
      <c r="C738" s="13" t="n">
        <f aca="false">C734+1</f>
        <v>186</v>
      </c>
      <c r="D738" s="13" t="n">
        <f aca="false">'Match Results'!C186</f>
        <v>0</v>
      </c>
      <c r="E738" s="13" t="str">
        <f aca="false">IF('Match Results'!F425&gt;'Match Results'!E425,"Win",IF('Match Results'!E424='Match Results'!F424,"Draw","Loss"))</f>
        <v>Draw</v>
      </c>
      <c r="F738" s="13" t="n">
        <f aca="false">IF(E738="Win",3,IF(E738="Draw",2,1))</f>
        <v>2</v>
      </c>
    </row>
    <row r="739" customFormat="false" ht="14.25" hidden="false" customHeight="false" outlineLevel="0" collapsed="false">
      <c r="A739" s="13" t="n">
        <f aca="false">'Match Results'!A186</f>
        <v>45967</v>
      </c>
      <c r="B739" s="13" t="n">
        <f aca="false">'Match Results'!B739</f>
        <v>0</v>
      </c>
      <c r="C739" s="13" t="n">
        <f aca="false">C735+1</f>
        <v>186</v>
      </c>
      <c r="D739" s="13" t="n">
        <f aca="false">'Match Results'!D186</f>
        <v>0</v>
      </c>
      <c r="E739" s="13" t="str">
        <f aca="false">IF('Match Results'!F426&gt;'Match Results'!E426,"Win",IF('Match Results'!E425='Match Results'!F425,"Draw","Loss"))</f>
        <v>Draw</v>
      </c>
      <c r="F739" s="13" t="n">
        <f aca="false">IF(E739="Win",3,IF(E739="Draw",2,1))</f>
        <v>2</v>
      </c>
    </row>
    <row r="740" customFormat="false" ht="14.25" hidden="false" customHeight="false" outlineLevel="0" collapsed="false">
      <c r="A740" s="13" t="n">
        <f aca="false">'Match Results'!A186</f>
        <v>45967</v>
      </c>
      <c r="B740" s="13" t="n">
        <f aca="false">'Match Results'!B740</f>
        <v>0</v>
      </c>
      <c r="C740" s="13" t="n">
        <f aca="false">C736+1</f>
        <v>186</v>
      </c>
      <c r="D740" s="13" t="n">
        <f aca="false">'Match Results'!G186</f>
        <v>0</v>
      </c>
      <c r="E740" s="13" t="str">
        <f aca="false">IF('Match Results'!F427&gt;'Match Results'!E427,"Win",IF('Match Results'!E426='Match Results'!F426,"Draw","Loss"))</f>
        <v>Draw</v>
      </c>
      <c r="F740" s="13" t="n">
        <f aca="false">IF(E740="Win",3,IF(E740="Draw",2,1))</f>
        <v>2</v>
      </c>
    </row>
    <row r="741" customFormat="false" ht="14.25" hidden="false" customHeight="false" outlineLevel="0" collapsed="false">
      <c r="A741" s="13" t="n">
        <f aca="false">'Match Results'!A186</f>
        <v>45967</v>
      </c>
      <c r="B741" s="13" t="n">
        <f aca="false">'Match Results'!B741</f>
        <v>0</v>
      </c>
      <c r="C741" s="13" t="n">
        <f aca="false">C737+1</f>
        <v>186</v>
      </c>
      <c r="D741" s="13" t="n">
        <f aca="false">'Match Results'!H186</f>
        <v>0</v>
      </c>
      <c r="E741" s="13" t="str">
        <f aca="false">IF('Match Results'!F428&gt;'Match Results'!E428,"Win",IF('Match Results'!E427='Match Results'!F427,"Draw","Loss"))</f>
        <v>Draw</v>
      </c>
      <c r="F741" s="13" t="n">
        <f aca="false">IF(E741="Win",3,IF(E741="Draw",2,1))</f>
        <v>2</v>
      </c>
    </row>
    <row r="742" customFormat="false" ht="14.25" hidden="false" customHeight="false" outlineLevel="0" collapsed="false">
      <c r="A742" s="13" t="n">
        <f aca="false">'Match Results'!A187</f>
        <v>45967</v>
      </c>
      <c r="B742" s="13" t="n">
        <f aca="false">'Match Results'!B742</f>
        <v>0</v>
      </c>
      <c r="C742" s="13" t="n">
        <f aca="false">C738+1</f>
        <v>187</v>
      </c>
      <c r="D742" s="13" t="n">
        <f aca="false">'Match Results'!C187</f>
        <v>0</v>
      </c>
      <c r="E742" s="13" t="str">
        <f aca="false">IF('Match Results'!F429&gt;'Match Results'!E429,"Win",IF('Match Results'!E428='Match Results'!F428,"Draw","Loss"))</f>
        <v>Draw</v>
      </c>
      <c r="F742" s="13" t="n">
        <f aca="false">IF(E742="Win",3,IF(E742="Draw",2,1))</f>
        <v>2</v>
      </c>
    </row>
    <row r="743" customFormat="false" ht="14.25" hidden="false" customHeight="false" outlineLevel="0" collapsed="false">
      <c r="A743" s="13" t="n">
        <f aca="false">'Match Results'!A187</f>
        <v>45967</v>
      </c>
      <c r="B743" s="13" t="n">
        <f aca="false">'Match Results'!B743</f>
        <v>0</v>
      </c>
      <c r="C743" s="13" t="n">
        <f aca="false">C739+1</f>
        <v>187</v>
      </c>
      <c r="D743" s="13" t="n">
        <f aca="false">'Match Results'!D187</f>
        <v>0</v>
      </c>
      <c r="E743" s="13" t="str">
        <f aca="false">IF('Match Results'!F430&gt;'Match Results'!E430,"Win",IF('Match Results'!E429='Match Results'!F429,"Draw","Loss"))</f>
        <v>Draw</v>
      </c>
      <c r="F743" s="13" t="n">
        <f aca="false">IF(E743="Win",3,IF(E743="Draw",2,1))</f>
        <v>2</v>
      </c>
    </row>
    <row r="744" customFormat="false" ht="14.25" hidden="false" customHeight="false" outlineLevel="0" collapsed="false">
      <c r="A744" s="13" t="n">
        <f aca="false">'Match Results'!A187</f>
        <v>45967</v>
      </c>
      <c r="B744" s="13" t="n">
        <f aca="false">'Match Results'!B744</f>
        <v>0</v>
      </c>
      <c r="C744" s="13" t="n">
        <f aca="false">C740+1</f>
        <v>187</v>
      </c>
      <c r="D744" s="13" t="n">
        <f aca="false">'Match Results'!G187</f>
        <v>0</v>
      </c>
      <c r="E744" s="13" t="str">
        <f aca="false">IF('Match Results'!F431&gt;'Match Results'!E431,"Win",IF('Match Results'!E430='Match Results'!F430,"Draw","Loss"))</f>
        <v>Draw</v>
      </c>
      <c r="F744" s="13" t="n">
        <f aca="false">IF(E744="Win",3,IF(E744="Draw",2,1))</f>
        <v>2</v>
      </c>
    </row>
    <row r="745" customFormat="false" ht="14.25" hidden="false" customHeight="false" outlineLevel="0" collapsed="false">
      <c r="A745" s="13" t="n">
        <f aca="false">'Match Results'!A187</f>
        <v>45967</v>
      </c>
      <c r="B745" s="13" t="n">
        <f aca="false">'Match Results'!B745</f>
        <v>0</v>
      </c>
      <c r="C745" s="13" t="n">
        <f aca="false">C741+1</f>
        <v>187</v>
      </c>
      <c r="D745" s="13" t="n">
        <f aca="false">'Match Results'!H187</f>
        <v>0</v>
      </c>
      <c r="E745" s="13" t="str">
        <f aca="false">IF('Match Results'!F432&gt;'Match Results'!E432,"Win",IF('Match Results'!E431='Match Results'!F431,"Draw","Loss"))</f>
        <v>Draw</v>
      </c>
      <c r="F745" s="13" t="n">
        <f aca="false">IF(E745="Win",3,IF(E745="Draw",2,1))</f>
        <v>2</v>
      </c>
    </row>
    <row r="746" customFormat="false" ht="14.25" hidden="false" customHeight="false" outlineLevel="0" collapsed="false">
      <c r="A746" s="13" t="n">
        <f aca="false">'Match Results'!A188</f>
        <v>45967</v>
      </c>
      <c r="B746" s="13" t="n">
        <f aca="false">'Match Results'!B746</f>
        <v>0</v>
      </c>
      <c r="C746" s="13" t="n">
        <f aca="false">C742+1</f>
        <v>188</v>
      </c>
      <c r="D746" s="13" t="n">
        <f aca="false">'Match Results'!C188</f>
        <v>0</v>
      </c>
      <c r="E746" s="13" t="str">
        <f aca="false">IF('Match Results'!F433&gt;'Match Results'!E433,"Win",IF('Match Results'!E432='Match Results'!F432,"Draw","Loss"))</f>
        <v>Draw</v>
      </c>
      <c r="F746" s="13" t="n">
        <f aca="false">IF(E746="Win",3,IF(E746="Draw",2,1))</f>
        <v>2</v>
      </c>
    </row>
    <row r="747" customFormat="false" ht="14.25" hidden="false" customHeight="false" outlineLevel="0" collapsed="false">
      <c r="A747" s="13" t="n">
        <f aca="false">'Match Results'!A188</f>
        <v>45967</v>
      </c>
      <c r="B747" s="13" t="n">
        <f aca="false">'Match Results'!B747</f>
        <v>0</v>
      </c>
      <c r="C747" s="13" t="n">
        <f aca="false">C743+1</f>
        <v>188</v>
      </c>
      <c r="D747" s="13" t="n">
        <f aca="false">'Match Results'!D188</f>
        <v>0</v>
      </c>
      <c r="E747" s="13" t="str">
        <f aca="false">IF('Match Results'!F434&gt;'Match Results'!E434,"Win",IF('Match Results'!E433='Match Results'!F433,"Draw","Loss"))</f>
        <v>Draw</v>
      </c>
      <c r="F747" s="13" t="n">
        <f aca="false">IF(E747="Win",3,IF(E747="Draw",2,1))</f>
        <v>2</v>
      </c>
    </row>
    <row r="748" customFormat="false" ht="14.25" hidden="false" customHeight="false" outlineLevel="0" collapsed="false">
      <c r="A748" s="13" t="n">
        <f aca="false">'Match Results'!A188</f>
        <v>45967</v>
      </c>
      <c r="B748" s="13" t="n">
        <f aca="false">'Match Results'!B748</f>
        <v>0</v>
      </c>
      <c r="C748" s="13" t="n">
        <f aca="false">C744+1</f>
        <v>188</v>
      </c>
      <c r="D748" s="13" t="n">
        <f aca="false">'Match Results'!G188</f>
        <v>0</v>
      </c>
      <c r="E748" s="13" t="str">
        <f aca="false">IF('Match Results'!F435&gt;'Match Results'!E435,"Win",IF('Match Results'!E434='Match Results'!F434,"Draw","Loss"))</f>
        <v>Draw</v>
      </c>
      <c r="F748" s="13" t="n">
        <f aca="false">IF(E748="Win",3,IF(E748="Draw",2,1))</f>
        <v>2</v>
      </c>
    </row>
    <row r="749" customFormat="false" ht="14.25" hidden="false" customHeight="false" outlineLevel="0" collapsed="false">
      <c r="A749" s="13" t="n">
        <f aca="false">'Match Results'!A188</f>
        <v>45967</v>
      </c>
      <c r="B749" s="13" t="n">
        <f aca="false">'Match Results'!B749</f>
        <v>0</v>
      </c>
      <c r="C749" s="13" t="n">
        <f aca="false">C745+1</f>
        <v>188</v>
      </c>
      <c r="D749" s="13" t="n">
        <f aca="false">'Match Results'!H188</f>
        <v>0</v>
      </c>
      <c r="E749" s="13" t="str">
        <f aca="false">IF('Match Results'!F436&gt;'Match Results'!E436,"Win",IF('Match Results'!E435='Match Results'!F435,"Draw","Loss"))</f>
        <v>Draw</v>
      </c>
      <c r="F749" s="13" t="n">
        <f aca="false">IF(E749="Win",3,IF(E749="Draw",2,1))</f>
        <v>2</v>
      </c>
    </row>
    <row r="750" customFormat="false" ht="14.25" hidden="false" customHeight="false" outlineLevel="0" collapsed="false">
      <c r="A750" s="13" t="n">
        <f aca="false">'Match Results'!A189</f>
        <v>45967</v>
      </c>
      <c r="B750" s="13" t="n">
        <f aca="false">'Match Results'!B750</f>
        <v>0</v>
      </c>
      <c r="C750" s="13" t="n">
        <f aca="false">C746+1</f>
        <v>189</v>
      </c>
      <c r="D750" s="13" t="n">
        <f aca="false">'Match Results'!C189</f>
        <v>0</v>
      </c>
      <c r="E750" s="13" t="str">
        <f aca="false">IF('Match Results'!F437&gt;'Match Results'!E437,"Win",IF('Match Results'!E436='Match Results'!F436,"Draw","Loss"))</f>
        <v>Draw</v>
      </c>
      <c r="F750" s="13" t="n">
        <f aca="false">IF(E750="Win",3,IF(E750="Draw",2,1))</f>
        <v>2</v>
      </c>
    </row>
    <row r="751" customFormat="false" ht="14.25" hidden="false" customHeight="false" outlineLevel="0" collapsed="false">
      <c r="A751" s="13" t="n">
        <f aca="false">'Match Results'!A189</f>
        <v>45967</v>
      </c>
      <c r="B751" s="13" t="n">
        <f aca="false">'Match Results'!B751</f>
        <v>0</v>
      </c>
      <c r="C751" s="13" t="n">
        <f aca="false">C747+1</f>
        <v>189</v>
      </c>
      <c r="D751" s="13" t="n">
        <f aca="false">'Match Results'!D189</f>
        <v>0</v>
      </c>
      <c r="E751" s="13" t="str">
        <f aca="false">IF('Match Results'!F438&gt;'Match Results'!E438,"Win",IF('Match Results'!E437='Match Results'!F437,"Draw","Loss"))</f>
        <v>Draw</v>
      </c>
      <c r="F751" s="13" t="n">
        <f aca="false">IF(E751="Win",3,IF(E751="Draw",2,1))</f>
        <v>2</v>
      </c>
    </row>
    <row r="752" customFormat="false" ht="14.25" hidden="false" customHeight="false" outlineLevel="0" collapsed="false">
      <c r="A752" s="13" t="n">
        <f aca="false">'Match Results'!A189</f>
        <v>45967</v>
      </c>
      <c r="B752" s="13" t="n">
        <f aca="false">'Match Results'!B752</f>
        <v>0</v>
      </c>
      <c r="C752" s="13" t="n">
        <f aca="false">C748+1</f>
        <v>189</v>
      </c>
      <c r="D752" s="13" t="n">
        <f aca="false">'Match Results'!G189</f>
        <v>0</v>
      </c>
      <c r="E752" s="13" t="str">
        <f aca="false">IF('Match Results'!F439&gt;'Match Results'!E439,"Win",IF('Match Results'!E438='Match Results'!F438,"Draw","Loss"))</f>
        <v>Draw</v>
      </c>
      <c r="F752" s="13" t="n">
        <f aca="false">IF(E752="Win",3,IF(E752="Draw",2,1))</f>
        <v>2</v>
      </c>
    </row>
    <row r="753" customFormat="false" ht="14.25" hidden="false" customHeight="false" outlineLevel="0" collapsed="false">
      <c r="A753" s="13" t="n">
        <f aca="false">'Match Results'!A189</f>
        <v>45967</v>
      </c>
      <c r="B753" s="13" t="n">
        <f aca="false">'Match Results'!B753</f>
        <v>0</v>
      </c>
      <c r="C753" s="13" t="n">
        <f aca="false">C749+1</f>
        <v>189</v>
      </c>
      <c r="D753" s="13" t="n">
        <f aca="false">'Match Results'!H189</f>
        <v>0</v>
      </c>
      <c r="E753" s="13" t="str">
        <f aca="false">IF('Match Results'!F440&gt;'Match Results'!E440,"Win",IF('Match Results'!E439='Match Results'!F439,"Draw","Loss"))</f>
        <v>Draw</v>
      </c>
      <c r="F753" s="13" t="n">
        <f aca="false">IF(E753="Win",3,IF(E753="Draw",2,1))</f>
        <v>2</v>
      </c>
    </row>
    <row r="754" customFormat="false" ht="14.25" hidden="false" customHeight="false" outlineLevel="0" collapsed="false">
      <c r="A754" s="13" t="n">
        <f aca="false">'Match Results'!A190</f>
        <v>45967</v>
      </c>
      <c r="B754" s="13" t="n">
        <f aca="false">'Match Results'!B754</f>
        <v>0</v>
      </c>
      <c r="C754" s="13" t="n">
        <f aca="false">C750+1</f>
        <v>190</v>
      </c>
      <c r="D754" s="13" t="n">
        <f aca="false">'Match Results'!C190</f>
        <v>0</v>
      </c>
      <c r="E754" s="13" t="str">
        <f aca="false">IF('Match Results'!F441&gt;'Match Results'!E441,"Win",IF('Match Results'!E440='Match Results'!F440,"Draw","Loss"))</f>
        <v>Draw</v>
      </c>
      <c r="F754" s="13" t="n">
        <f aca="false">IF(E754="Win",3,IF(E754="Draw",2,1))</f>
        <v>2</v>
      </c>
    </row>
    <row r="755" customFormat="false" ht="14.25" hidden="false" customHeight="false" outlineLevel="0" collapsed="false">
      <c r="A755" s="13" t="n">
        <f aca="false">'Match Results'!A190</f>
        <v>45967</v>
      </c>
      <c r="B755" s="13" t="n">
        <f aca="false">'Match Results'!B755</f>
        <v>0</v>
      </c>
      <c r="C755" s="13" t="n">
        <f aca="false">C751+1</f>
        <v>190</v>
      </c>
      <c r="D755" s="13" t="n">
        <f aca="false">'Match Results'!D190</f>
        <v>0</v>
      </c>
      <c r="E755" s="13" t="str">
        <f aca="false">IF('Match Results'!F442&gt;'Match Results'!E442,"Win",IF('Match Results'!E441='Match Results'!F441,"Draw","Loss"))</f>
        <v>Draw</v>
      </c>
      <c r="F755" s="13" t="n">
        <f aca="false">IF(E755="Win",3,IF(E755="Draw",2,1))</f>
        <v>2</v>
      </c>
    </row>
    <row r="756" customFormat="false" ht="14.25" hidden="false" customHeight="false" outlineLevel="0" collapsed="false">
      <c r="A756" s="13" t="n">
        <f aca="false">'Match Results'!A190</f>
        <v>45967</v>
      </c>
      <c r="B756" s="13" t="n">
        <f aca="false">'Match Results'!B756</f>
        <v>0</v>
      </c>
      <c r="C756" s="13" t="n">
        <f aca="false">C752+1</f>
        <v>190</v>
      </c>
      <c r="D756" s="13" t="n">
        <f aca="false">'Match Results'!G190</f>
        <v>0</v>
      </c>
      <c r="E756" s="13" t="str">
        <f aca="false">IF('Match Results'!F443&gt;'Match Results'!E443,"Win",IF('Match Results'!E442='Match Results'!F442,"Draw","Loss"))</f>
        <v>Draw</v>
      </c>
      <c r="F756" s="13" t="n">
        <f aca="false">IF(E756="Win",3,IF(E756="Draw",2,1))</f>
        <v>2</v>
      </c>
    </row>
    <row r="757" customFormat="false" ht="14.25" hidden="false" customHeight="false" outlineLevel="0" collapsed="false">
      <c r="A757" s="13" t="n">
        <f aca="false">'Match Results'!A190</f>
        <v>45967</v>
      </c>
      <c r="B757" s="13" t="n">
        <f aca="false">'Match Results'!B757</f>
        <v>0</v>
      </c>
      <c r="C757" s="13" t="n">
        <f aca="false">C753+1</f>
        <v>190</v>
      </c>
      <c r="D757" s="13" t="n">
        <f aca="false">'Match Results'!H190</f>
        <v>0</v>
      </c>
      <c r="E757" s="13" t="str">
        <f aca="false">IF('Match Results'!F444&gt;'Match Results'!E444,"Win",IF('Match Results'!E443='Match Results'!F443,"Draw","Loss"))</f>
        <v>Draw</v>
      </c>
      <c r="F757" s="13" t="n">
        <f aca="false">IF(E757="Win",3,IF(E757="Draw",2,1))</f>
        <v>2</v>
      </c>
    </row>
    <row r="758" customFormat="false" ht="14.25" hidden="false" customHeight="false" outlineLevel="0" collapsed="false">
      <c r="A758" s="13" t="n">
        <f aca="false">'Match Results'!A191</f>
        <v>45967</v>
      </c>
      <c r="B758" s="13" t="n">
        <f aca="false">'Match Results'!B758</f>
        <v>0</v>
      </c>
      <c r="C758" s="13" t="n">
        <f aca="false">C754+1</f>
        <v>191</v>
      </c>
      <c r="D758" s="13" t="n">
        <f aca="false">'Match Results'!C191</f>
        <v>0</v>
      </c>
      <c r="E758" s="13" t="str">
        <f aca="false">IF('Match Results'!F445&gt;'Match Results'!E445,"Win",IF('Match Results'!E444='Match Results'!F444,"Draw","Loss"))</f>
        <v>Draw</v>
      </c>
      <c r="F758" s="13" t="n">
        <f aca="false">IF(E758="Win",3,IF(E758="Draw",2,1))</f>
        <v>2</v>
      </c>
    </row>
    <row r="759" customFormat="false" ht="14.25" hidden="false" customHeight="false" outlineLevel="0" collapsed="false">
      <c r="A759" s="13" t="n">
        <f aca="false">'Match Results'!A191</f>
        <v>45967</v>
      </c>
      <c r="B759" s="13" t="n">
        <f aca="false">'Match Results'!B759</f>
        <v>0</v>
      </c>
      <c r="C759" s="13" t="n">
        <f aca="false">C755+1</f>
        <v>191</v>
      </c>
      <c r="D759" s="13" t="n">
        <f aca="false">'Match Results'!D191</f>
        <v>0</v>
      </c>
      <c r="E759" s="13" t="str">
        <f aca="false">IF('Match Results'!F446&gt;'Match Results'!E446,"Win",IF('Match Results'!E445='Match Results'!F445,"Draw","Loss"))</f>
        <v>Draw</v>
      </c>
      <c r="F759" s="13" t="n">
        <f aca="false">IF(E759="Win",3,IF(E759="Draw",2,1))</f>
        <v>2</v>
      </c>
    </row>
    <row r="760" customFormat="false" ht="14.25" hidden="false" customHeight="false" outlineLevel="0" collapsed="false">
      <c r="A760" s="13" t="n">
        <f aca="false">'Match Results'!A191</f>
        <v>45967</v>
      </c>
      <c r="B760" s="13" t="n">
        <f aca="false">'Match Results'!B760</f>
        <v>0</v>
      </c>
      <c r="C760" s="13" t="n">
        <f aca="false">C756+1</f>
        <v>191</v>
      </c>
      <c r="D760" s="13" t="n">
        <f aca="false">'Match Results'!G191</f>
        <v>0</v>
      </c>
      <c r="E760" s="13" t="str">
        <f aca="false">IF('Match Results'!F447&gt;'Match Results'!E447,"Win",IF('Match Results'!E446='Match Results'!F446,"Draw","Loss"))</f>
        <v>Draw</v>
      </c>
      <c r="F760" s="13" t="n">
        <f aca="false">IF(E760="Win",3,IF(E760="Draw",2,1))</f>
        <v>2</v>
      </c>
    </row>
    <row r="761" customFormat="false" ht="14.25" hidden="false" customHeight="false" outlineLevel="0" collapsed="false">
      <c r="A761" s="13" t="n">
        <f aca="false">'Match Results'!A191</f>
        <v>45967</v>
      </c>
      <c r="B761" s="13" t="n">
        <f aca="false">'Match Results'!B761</f>
        <v>0</v>
      </c>
      <c r="C761" s="13" t="n">
        <f aca="false">C757+1</f>
        <v>191</v>
      </c>
      <c r="D761" s="13" t="n">
        <f aca="false">'Match Results'!H191</f>
        <v>0</v>
      </c>
      <c r="E761" s="13" t="str">
        <f aca="false">IF('Match Results'!F448&gt;'Match Results'!E448,"Win",IF('Match Results'!E447='Match Results'!F447,"Draw","Loss"))</f>
        <v>Draw</v>
      </c>
      <c r="F761" s="13" t="n">
        <f aca="false">IF(E761="Win",3,IF(E761="Draw",2,1))</f>
        <v>2</v>
      </c>
    </row>
    <row r="762" customFormat="false" ht="14.25" hidden="false" customHeight="false" outlineLevel="0" collapsed="false">
      <c r="A762" s="13" t="n">
        <f aca="false">'Match Results'!A192</f>
        <v>45967</v>
      </c>
      <c r="B762" s="13" t="n">
        <f aca="false">'Match Results'!B762</f>
        <v>0</v>
      </c>
      <c r="C762" s="13" t="n">
        <f aca="false">C758+1</f>
        <v>192</v>
      </c>
      <c r="D762" s="13" t="n">
        <f aca="false">'Match Results'!C192</f>
        <v>0</v>
      </c>
      <c r="E762" s="13" t="str">
        <f aca="false">IF('Match Results'!F449&gt;'Match Results'!E449,"Win",IF('Match Results'!E448='Match Results'!F448,"Draw","Loss"))</f>
        <v>Draw</v>
      </c>
      <c r="F762" s="13" t="n">
        <f aca="false">IF(E762="Win",3,IF(E762="Draw",2,1))</f>
        <v>2</v>
      </c>
    </row>
    <row r="763" customFormat="false" ht="14.25" hidden="false" customHeight="false" outlineLevel="0" collapsed="false">
      <c r="A763" s="13" t="n">
        <f aca="false">'Match Results'!A192</f>
        <v>45967</v>
      </c>
      <c r="B763" s="13" t="n">
        <f aca="false">'Match Results'!B763</f>
        <v>0</v>
      </c>
      <c r="C763" s="13" t="n">
        <f aca="false">C759+1</f>
        <v>192</v>
      </c>
      <c r="D763" s="13" t="n">
        <f aca="false">'Match Results'!D192</f>
        <v>0</v>
      </c>
      <c r="E763" s="13" t="str">
        <f aca="false">IF('Match Results'!F450&gt;'Match Results'!E450,"Win",IF('Match Results'!E449='Match Results'!F449,"Draw","Loss"))</f>
        <v>Draw</v>
      </c>
      <c r="F763" s="13" t="n">
        <f aca="false">IF(E763="Win",3,IF(E763="Draw",2,1))</f>
        <v>2</v>
      </c>
    </row>
    <row r="764" customFormat="false" ht="14.25" hidden="false" customHeight="false" outlineLevel="0" collapsed="false">
      <c r="A764" s="13" t="n">
        <f aca="false">'Match Results'!A192</f>
        <v>45967</v>
      </c>
      <c r="B764" s="13" t="n">
        <f aca="false">'Match Results'!B764</f>
        <v>0</v>
      </c>
      <c r="C764" s="13" t="n">
        <f aca="false">C760+1</f>
        <v>192</v>
      </c>
      <c r="D764" s="13" t="n">
        <f aca="false">'Match Results'!G192</f>
        <v>0</v>
      </c>
      <c r="E764" s="13" t="str">
        <f aca="false">IF('Match Results'!F451&gt;'Match Results'!E451,"Win",IF('Match Results'!E450='Match Results'!F450,"Draw","Loss"))</f>
        <v>Draw</v>
      </c>
      <c r="F764" s="13" t="n">
        <f aca="false">IF(E764="Win",3,IF(E764="Draw",2,1))</f>
        <v>2</v>
      </c>
    </row>
    <row r="765" customFormat="false" ht="14.25" hidden="false" customHeight="false" outlineLevel="0" collapsed="false">
      <c r="A765" s="13" t="n">
        <f aca="false">'Match Results'!A192</f>
        <v>45967</v>
      </c>
      <c r="B765" s="13" t="n">
        <f aca="false">'Match Results'!B765</f>
        <v>0</v>
      </c>
      <c r="C765" s="13" t="n">
        <f aca="false">C761+1</f>
        <v>192</v>
      </c>
      <c r="D765" s="13" t="n">
        <f aca="false">'Match Results'!H192</f>
        <v>0</v>
      </c>
      <c r="E765" s="13" t="str">
        <f aca="false">IF('Match Results'!F452&gt;'Match Results'!E452,"Win",IF('Match Results'!E451='Match Results'!F451,"Draw","Loss"))</f>
        <v>Draw</v>
      </c>
      <c r="F765" s="13" t="n">
        <f aca="false">IF(E765="Win",3,IF(E765="Draw",2,1))</f>
        <v>2</v>
      </c>
    </row>
    <row r="766" customFormat="false" ht="14.25" hidden="false" customHeight="false" outlineLevel="0" collapsed="false">
      <c r="A766" s="13" t="n">
        <f aca="false">'Match Results'!A193</f>
        <v>45967</v>
      </c>
      <c r="B766" s="13" t="n">
        <f aca="false">'Match Results'!B766</f>
        <v>0</v>
      </c>
      <c r="C766" s="13" t="n">
        <f aca="false">C762+1</f>
        <v>193</v>
      </c>
      <c r="D766" s="13" t="n">
        <f aca="false">'Match Results'!C193</f>
        <v>0</v>
      </c>
      <c r="E766" s="13" t="str">
        <f aca="false">IF('Match Results'!F453&gt;'Match Results'!E453,"Win",IF('Match Results'!E452='Match Results'!F452,"Draw","Loss"))</f>
        <v>Draw</v>
      </c>
      <c r="F766" s="13" t="n">
        <f aca="false">IF(E766="Win",3,IF(E766="Draw",2,1))</f>
        <v>2</v>
      </c>
    </row>
    <row r="767" customFormat="false" ht="14.25" hidden="false" customHeight="false" outlineLevel="0" collapsed="false">
      <c r="A767" s="13" t="n">
        <f aca="false">'Match Results'!A193</f>
        <v>45967</v>
      </c>
      <c r="B767" s="13" t="n">
        <f aca="false">'Match Results'!B767</f>
        <v>0</v>
      </c>
      <c r="C767" s="13" t="n">
        <f aca="false">C763+1</f>
        <v>193</v>
      </c>
      <c r="D767" s="13" t="n">
        <f aca="false">'Match Results'!D193</f>
        <v>0</v>
      </c>
      <c r="E767" s="13" t="str">
        <f aca="false">IF('Match Results'!F454&gt;'Match Results'!E454,"Win",IF('Match Results'!E453='Match Results'!F453,"Draw","Loss"))</f>
        <v>Draw</v>
      </c>
      <c r="F767" s="13" t="n">
        <f aca="false">IF(E767="Win",3,IF(E767="Draw",2,1))</f>
        <v>2</v>
      </c>
    </row>
    <row r="768" customFormat="false" ht="14.25" hidden="false" customHeight="false" outlineLevel="0" collapsed="false">
      <c r="A768" s="13" t="n">
        <f aca="false">'Match Results'!A193</f>
        <v>45967</v>
      </c>
      <c r="B768" s="13" t="n">
        <f aca="false">'Match Results'!B768</f>
        <v>0</v>
      </c>
      <c r="C768" s="13" t="n">
        <f aca="false">C764+1</f>
        <v>193</v>
      </c>
      <c r="D768" s="13" t="n">
        <f aca="false">'Match Results'!G193</f>
        <v>0</v>
      </c>
      <c r="E768" s="13" t="str">
        <f aca="false">IF('Match Results'!F455&gt;'Match Results'!E455,"Win",IF('Match Results'!E454='Match Results'!F454,"Draw","Loss"))</f>
        <v>Draw</v>
      </c>
      <c r="F768" s="13" t="n">
        <f aca="false">IF(E768="Win",3,IF(E768="Draw",2,1))</f>
        <v>2</v>
      </c>
    </row>
    <row r="769" customFormat="false" ht="14.25" hidden="false" customHeight="false" outlineLevel="0" collapsed="false">
      <c r="A769" s="13" t="n">
        <f aca="false">'Match Results'!A193</f>
        <v>45967</v>
      </c>
      <c r="B769" s="13" t="n">
        <f aca="false">'Match Results'!B769</f>
        <v>0</v>
      </c>
      <c r="C769" s="13" t="n">
        <f aca="false">C765+1</f>
        <v>193</v>
      </c>
      <c r="D769" s="13" t="n">
        <f aca="false">'Match Results'!H193</f>
        <v>0</v>
      </c>
      <c r="E769" s="13" t="str">
        <f aca="false">IF('Match Results'!F456&gt;'Match Results'!E456,"Win",IF('Match Results'!E455='Match Results'!F455,"Draw","Loss"))</f>
        <v>Draw</v>
      </c>
      <c r="F769" s="13" t="n">
        <f aca="false">IF(E769="Win",3,IF(E769="Draw",2,1))</f>
        <v>2</v>
      </c>
    </row>
    <row r="770" customFormat="false" ht="14.25" hidden="false" customHeight="false" outlineLevel="0" collapsed="false">
      <c r="A770" s="13" t="n">
        <f aca="false">'Match Results'!A194</f>
        <v>45974</v>
      </c>
      <c r="B770" s="13" t="n">
        <f aca="false">'Match Results'!B770</f>
        <v>0</v>
      </c>
      <c r="C770" s="13" t="n">
        <f aca="false">C766+1</f>
        <v>194</v>
      </c>
      <c r="D770" s="13" t="n">
        <f aca="false">'Match Results'!C194</f>
        <v>0</v>
      </c>
      <c r="E770" s="13" t="str">
        <f aca="false">IF('Match Results'!F457&gt;'Match Results'!E457,"Win",IF('Match Results'!E456='Match Results'!F456,"Draw","Loss"))</f>
        <v>Draw</v>
      </c>
      <c r="F770" s="13" t="n">
        <f aca="false">IF(E770="Win",3,IF(E770="Draw",2,1))</f>
        <v>2</v>
      </c>
    </row>
    <row r="771" customFormat="false" ht="14.25" hidden="false" customHeight="false" outlineLevel="0" collapsed="false">
      <c r="A771" s="13" t="n">
        <f aca="false">'Match Results'!A194</f>
        <v>45974</v>
      </c>
      <c r="B771" s="13" t="n">
        <f aca="false">'Match Results'!B771</f>
        <v>0</v>
      </c>
      <c r="C771" s="13" t="n">
        <f aca="false">C767+1</f>
        <v>194</v>
      </c>
      <c r="D771" s="13" t="n">
        <f aca="false">'Match Results'!D194</f>
        <v>0</v>
      </c>
      <c r="E771" s="13" t="str">
        <f aca="false">IF('Match Results'!F458&gt;'Match Results'!E458,"Win",IF('Match Results'!E457='Match Results'!F457,"Draw","Loss"))</f>
        <v>Draw</v>
      </c>
      <c r="F771" s="13" t="n">
        <f aca="false">IF(E771="Win",3,IF(E771="Draw",2,1))</f>
        <v>2</v>
      </c>
    </row>
    <row r="772" customFormat="false" ht="14.25" hidden="false" customHeight="false" outlineLevel="0" collapsed="false">
      <c r="A772" s="13" t="n">
        <f aca="false">'Match Results'!A194</f>
        <v>45974</v>
      </c>
      <c r="B772" s="13" t="n">
        <f aca="false">'Match Results'!B772</f>
        <v>0</v>
      </c>
      <c r="C772" s="13" t="n">
        <f aca="false">C768+1</f>
        <v>194</v>
      </c>
      <c r="D772" s="13" t="n">
        <f aca="false">'Match Results'!G194</f>
        <v>0</v>
      </c>
      <c r="E772" s="13" t="str">
        <f aca="false">IF('Match Results'!F459&gt;'Match Results'!E459,"Win",IF('Match Results'!E458='Match Results'!F458,"Draw","Loss"))</f>
        <v>Draw</v>
      </c>
      <c r="F772" s="13" t="n">
        <f aca="false">IF(E772="Win",3,IF(E772="Draw",2,1))</f>
        <v>2</v>
      </c>
    </row>
    <row r="773" customFormat="false" ht="14.25" hidden="false" customHeight="false" outlineLevel="0" collapsed="false">
      <c r="A773" s="13" t="n">
        <f aca="false">'Match Results'!A194</f>
        <v>45974</v>
      </c>
      <c r="B773" s="13" t="n">
        <f aca="false">'Match Results'!B773</f>
        <v>0</v>
      </c>
      <c r="C773" s="13" t="n">
        <f aca="false">C769+1</f>
        <v>194</v>
      </c>
      <c r="D773" s="13" t="n">
        <f aca="false">'Match Results'!H194</f>
        <v>0</v>
      </c>
      <c r="E773" s="13" t="str">
        <f aca="false">IF('Match Results'!F460&gt;'Match Results'!E460,"Win",IF('Match Results'!E459='Match Results'!F459,"Draw","Loss"))</f>
        <v>Draw</v>
      </c>
      <c r="F773" s="13" t="n">
        <f aca="false">IF(E773="Win",3,IF(E773="Draw",2,1))</f>
        <v>2</v>
      </c>
    </row>
    <row r="774" customFormat="false" ht="14.25" hidden="false" customHeight="false" outlineLevel="0" collapsed="false">
      <c r="A774" s="13" t="n">
        <f aca="false">'Match Results'!A195</f>
        <v>45974</v>
      </c>
      <c r="B774" s="13" t="n">
        <f aca="false">'Match Results'!B774</f>
        <v>0</v>
      </c>
      <c r="C774" s="13" t="n">
        <f aca="false">C770+1</f>
        <v>195</v>
      </c>
      <c r="D774" s="13" t="n">
        <f aca="false">'Match Results'!C195</f>
        <v>0</v>
      </c>
      <c r="E774" s="13" t="str">
        <f aca="false">IF('Match Results'!F461&gt;'Match Results'!E461,"Win",IF('Match Results'!E460='Match Results'!F460,"Draw","Loss"))</f>
        <v>Draw</v>
      </c>
      <c r="F774" s="13" t="n">
        <f aca="false">IF(E774="Win",3,IF(E774="Draw",2,1))</f>
        <v>2</v>
      </c>
    </row>
    <row r="775" customFormat="false" ht="14.25" hidden="false" customHeight="false" outlineLevel="0" collapsed="false">
      <c r="A775" s="13" t="n">
        <f aca="false">'Match Results'!A195</f>
        <v>45974</v>
      </c>
      <c r="B775" s="13" t="n">
        <f aca="false">'Match Results'!B775</f>
        <v>0</v>
      </c>
      <c r="C775" s="13" t="n">
        <f aca="false">C771+1</f>
        <v>195</v>
      </c>
      <c r="D775" s="13" t="n">
        <f aca="false">'Match Results'!D195</f>
        <v>0</v>
      </c>
      <c r="E775" s="13" t="str">
        <f aca="false">IF('Match Results'!F462&gt;'Match Results'!E462,"Win",IF('Match Results'!E461='Match Results'!F461,"Draw","Loss"))</f>
        <v>Draw</v>
      </c>
      <c r="F775" s="13" t="n">
        <f aca="false">IF(E775="Win",3,IF(E775="Draw",2,1))</f>
        <v>2</v>
      </c>
    </row>
    <row r="776" customFormat="false" ht="14.25" hidden="false" customHeight="false" outlineLevel="0" collapsed="false">
      <c r="A776" s="13" t="n">
        <f aca="false">'Match Results'!A195</f>
        <v>45974</v>
      </c>
      <c r="B776" s="13" t="n">
        <f aca="false">'Match Results'!B776</f>
        <v>0</v>
      </c>
      <c r="C776" s="13" t="n">
        <f aca="false">C772+1</f>
        <v>195</v>
      </c>
      <c r="D776" s="13" t="n">
        <f aca="false">'Match Results'!G195</f>
        <v>0</v>
      </c>
      <c r="E776" s="13" t="str">
        <f aca="false">IF('Match Results'!F463&gt;'Match Results'!E463,"Win",IF('Match Results'!E462='Match Results'!F462,"Draw","Loss"))</f>
        <v>Draw</v>
      </c>
      <c r="F776" s="13" t="n">
        <f aca="false">IF(E776="Win",3,IF(E776="Draw",2,1))</f>
        <v>2</v>
      </c>
    </row>
    <row r="777" customFormat="false" ht="14.25" hidden="false" customHeight="false" outlineLevel="0" collapsed="false">
      <c r="A777" s="13" t="n">
        <f aca="false">'Match Results'!A195</f>
        <v>45974</v>
      </c>
      <c r="B777" s="13" t="n">
        <f aca="false">'Match Results'!B777</f>
        <v>0</v>
      </c>
      <c r="C777" s="13" t="n">
        <f aca="false">C773+1</f>
        <v>195</v>
      </c>
      <c r="D777" s="13" t="n">
        <f aca="false">'Match Results'!H195</f>
        <v>0</v>
      </c>
      <c r="E777" s="13" t="str">
        <f aca="false">IF('Match Results'!F464&gt;'Match Results'!E464,"Win",IF('Match Results'!E463='Match Results'!F463,"Draw","Loss"))</f>
        <v>Draw</v>
      </c>
      <c r="F777" s="13" t="n">
        <f aca="false">IF(E777="Win",3,IF(E777="Draw",2,1))</f>
        <v>2</v>
      </c>
    </row>
    <row r="778" customFormat="false" ht="14.25" hidden="false" customHeight="false" outlineLevel="0" collapsed="false">
      <c r="A778" s="13" t="n">
        <f aca="false">'Match Results'!A196</f>
        <v>45974</v>
      </c>
      <c r="B778" s="13" t="n">
        <f aca="false">'Match Results'!B778</f>
        <v>0</v>
      </c>
      <c r="C778" s="13" t="n">
        <f aca="false">C774+1</f>
        <v>196</v>
      </c>
      <c r="D778" s="13" t="n">
        <f aca="false">'Match Results'!C196</f>
        <v>0</v>
      </c>
      <c r="E778" s="13" t="str">
        <f aca="false">IF('Match Results'!F465&gt;'Match Results'!E465,"Win",IF('Match Results'!E464='Match Results'!F464,"Draw","Loss"))</f>
        <v>Draw</v>
      </c>
      <c r="F778" s="13" t="n">
        <f aca="false">IF(E778="Win",3,IF(E778="Draw",2,1))</f>
        <v>2</v>
      </c>
    </row>
    <row r="779" customFormat="false" ht="14.25" hidden="false" customHeight="false" outlineLevel="0" collapsed="false">
      <c r="A779" s="13" t="n">
        <f aca="false">'Match Results'!A196</f>
        <v>45974</v>
      </c>
      <c r="B779" s="13" t="n">
        <f aca="false">'Match Results'!B779</f>
        <v>0</v>
      </c>
      <c r="C779" s="13" t="n">
        <f aca="false">C775+1</f>
        <v>196</v>
      </c>
      <c r="D779" s="13" t="n">
        <f aca="false">'Match Results'!D196</f>
        <v>0</v>
      </c>
      <c r="E779" s="13" t="str">
        <f aca="false">IF('Match Results'!F466&gt;'Match Results'!E466,"Win",IF('Match Results'!E465='Match Results'!F465,"Draw","Loss"))</f>
        <v>Draw</v>
      </c>
      <c r="F779" s="13" t="n">
        <f aca="false">IF(E779="Win",3,IF(E779="Draw",2,1))</f>
        <v>2</v>
      </c>
    </row>
    <row r="780" customFormat="false" ht="14.25" hidden="false" customHeight="false" outlineLevel="0" collapsed="false">
      <c r="A780" s="13" t="n">
        <f aca="false">'Match Results'!A196</f>
        <v>45974</v>
      </c>
      <c r="B780" s="13" t="n">
        <f aca="false">'Match Results'!B780</f>
        <v>0</v>
      </c>
      <c r="C780" s="13" t="n">
        <f aca="false">C776+1</f>
        <v>196</v>
      </c>
      <c r="D780" s="13" t="n">
        <f aca="false">'Match Results'!G196</f>
        <v>0</v>
      </c>
      <c r="E780" s="13" t="str">
        <f aca="false">IF('Match Results'!F467&gt;'Match Results'!E467,"Win",IF('Match Results'!E466='Match Results'!F466,"Draw","Loss"))</f>
        <v>Draw</v>
      </c>
      <c r="F780" s="13" t="n">
        <f aca="false">IF(E780="Win",3,IF(E780="Draw",2,1))</f>
        <v>2</v>
      </c>
    </row>
    <row r="781" customFormat="false" ht="14.25" hidden="false" customHeight="false" outlineLevel="0" collapsed="false">
      <c r="A781" s="13" t="n">
        <f aca="false">'Match Results'!A196</f>
        <v>45974</v>
      </c>
      <c r="B781" s="13" t="n">
        <f aca="false">'Match Results'!B781</f>
        <v>0</v>
      </c>
      <c r="C781" s="13" t="n">
        <f aca="false">C777+1</f>
        <v>196</v>
      </c>
      <c r="D781" s="13" t="n">
        <f aca="false">'Match Results'!H196</f>
        <v>0</v>
      </c>
      <c r="E781" s="13" t="str">
        <f aca="false">IF('Match Results'!F468&gt;'Match Results'!E468,"Win",IF('Match Results'!E467='Match Results'!F467,"Draw","Loss"))</f>
        <v>Draw</v>
      </c>
      <c r="F781" s="13" t="n">
        <f aca="false">IF(E781="Win",3,IF(E781="Draw",2,1))</f>
        <v>2</v>
      </c>
    </row>
    <row r="782" customFormat="false" ht="14.25" hidden="false" customHeight="false" outlineLevel="0" collapsed="false">
      <c r="A782" s="13" t="n">
        <f aca="false">'Match Results'!A197</f>
        <v>45974</v>
      </c>
      <c r="B782" s="13" t="n">
        <f aca="false">'Match Results'!B782</f>
        <v>0</v>
      </c>
      <c r="C782" s="13" t="n">
        <f aca="false">C778+1</f>
        <v>197</v>
      </c>
      <c r="D782" s="13" t="n">
        <f aca="false">'Match Results'!C197</f>
        <v>0</v>
      </c>
      <c r="E782" s="13" t="str">
        <f aca="false">IF('Match Results'!F469&gt;'Match Results'!E469,"Win",IF('Match Results'!E468='Match Results'!F468,"Draw","Loss"))</f>
        <v>Draw</v>
      </c>
      <c r="F782" s="13" t="n">
        <f aca="false">IF(E782="Win",3,IF(E782="Draw",2,1))</f>
        <v>2</v>
      </c>
    </row>
    <row r="783" customFormat="false" ht="14.25" hidden="false" customHeight="false" outlineLevel="0" collapsed="false">
      <c r="A783" s="13" t="n">
        <f aca="false">'Match Results'!A197</f>
        <v>45974</v>
      </c>
      <c r="B783" s="13" t="n">
        <f aca="false">'Match Results'!B783</f>
        <v>0</v>
      </c>
      <c r="C783" s="13" t="n">
        <f aca="false">C779+1</f>
        <v>197</v>
      </c>
      <c r="D783" s="13" t="n">
        <f aca="false">'Match Results'!D197</f>
        <v>0</v>
      </c>
      <c r="E783" s="13" t="str">
        <f aca="false">IF('Match Results'!F470&gt;'Match Results'!E470,"Win",IF('Match Results'!E469='Match Results'!F469,"Draw","Loss"))</f>
        <v>Draw</v>
      </c>
      <c r="F783" s="13" t="n">
        <f aca="false">IF(E783="Win",3,IF(E783="Draw",2,1))</f>
        <v>2</v>
      </c>
    </row>
    <row r="784" customFormat="false" ht="14.25" hidden="false" customHeight="false" outlineLevel="0" collapsed="false">
      <c r="A784" s="13" t="n">
        <f aca="false">'Match Results'!A197</f>
        <v>45974</v>
      </c>
      <c r="B784" s="13" t="n">
        <f aca="false">'Match Results'!B784</f>
        <v>0</v>
      </c>
      <c r="C784" s="13" t="n">
        <f aca="false">C780+1</f>
        <v>197</v>
      </c>
      <c r="D784" s="13" t="n">
        <f aca="false">'Match Results'!G197</f>
        <v>0</v>
      </c>
      <c r="E784" s="13" t="str">
        <f aca="false">IF('Match Results'!F471&gt;'Match Results'!E471,"Win",IF('Match Results'!E470='Match Results'!F470,"Draw","Loss"))</f>
        <v>Draw</v>
      </c>
      <c r="F784" s="13" t="n">
        <f aca="false">IF(E784="Win",3,IF(E784="Draw",2,1))</f>
        <v>2</v>
      </c>
    </row>
    <row r="785" customFormat="false" ht="14.25" hidden="false" customHeight="false" outlineLevel="0" collapsed="false">
      <c r="A785" s="13" t="n">
        <f aca="false">'Match Results'!A197</f>
        <v>45974</v>
      </c>
      <c r="B785" s="13" t="n">
        <f aca="false">'Match Results'!B785</f>
        <v>0</v>
      </c>
      <c r="C785" s="13" t="n">
        <f aca="false">C781+1</f>
        <v>197</v>
      </c>
      <c r="D785" s="13" t="n">
        <f aca="false">'Match Results'!H197</f>
        <v>0</v>
      </c>
      <c r="E785" s="13" t="str">
        <f aca="false">IF('Match Results'!F472&gt;'Match Results'!E472,"Win",IF('Match Results'!E471='Match Results'!F471,"Draw","Loss"))</f>
        <v>Draw</v>
      </c>
      <c r="F785" s="13" t="n">
        <f aca="false">IF(E785="Win",3,IF(E785="Draw",2,1))</f>
        <v>2</v>
      </c>
    </row>
    <row r="786" customFormat="false" ht="14.25" hidden="false" customHeight="false" outlineLevel="0" collapsed="false">
      <c r="A786" s="13" t="n">
        <f aca="false">'Match Results'!A198</f>
        <v>45974</v>
      </c>
      <c r="B786" s="13" t="n">
        <f aca="false">'Match Results'!B786</f>
        <v>0</v>
      </c>
      <c r="C786" s="13" t="n">
        <f aca="false">C782+1</f>
        <v>198</v>
      </c>
      <c r="D786" s="13" t="n">
        <f aca="false">'Match Results'!C198</f>
        <v>0</v>
      </c>
      <c r="E786" s="13" t="str">
        <f aca="false">IF('Match Results'!F473&gt;'Match Results'!E473,"Win",IF('Match Results'!E472='Match Results'!F472,"Draw","Loss"))</f>
        <v>Draw</v>
      </c>
      <c r="F786" s="13" t="n">
        <f aca="false">IF(E786="Win",3,IF(E786="Draw",2,1))</f>
        <v>2</v>
      </c>
    </row>
    <row r="787" customFormat="false" ht="14.25" hidden="false" customHeight="false" outlineLevel="0" collapsed="false">
      <c r="A787" s="13" t="n">
        <f aca="false">'Match Results'!A198</f>
        <v>45974</v>
      </c>
      <c r="B787" s="13" t="n">
        <f aca="false">'Match Results'!B787</f>
        <v>0</v>
      </c>
      <c r="C787" s="13" t="n">
        <f aca="false">C783+1</f>
        <v>198</v>
      </c>
      <c r="D787" s="13" t="n">
        <f aca="false">'Match Results'!D198</f>
        <v>0</v>
      </c>
      <c r="E787" s="13" t="str">
        <f aca="false">IF('Match Results'!F474&gt;'Match Results'!E474,"Win",IF('Match Results'!E473='Match Results'!F473,"Draw","Loss"))</f>
        <v>Draw</v>
      </c>
      <c r="F787" s="13" t="n">
        <f aca="false">IF(E787="Win",3,IF(E787="Draw",2,1))</f>
        <v>2</v>
      </c>
    </row>
    <row r="788" customFormat="false" ht="14.25" hidden="false" customHeight="false" outlineLevel="0" collapsed="false">
      <c r="A788" s="13" t="n">
        <f aca="false">'Match Results'!A198</f>
        <v>45974</v>
      </c>
      <c r="B788" s="13" t="n">
        <f aca="false">'Match Results'!B788</f>
        <v>0</v>
      </c>
      <c r="C788" s="13" t="n">
        <f aca="false">C784+1</f>
        <v>198</v>
      </c>
      <c r="D788" s="13" t="n">
        <f aca="false">'Match Results'!G198</f>
        <v>0</v>
      </c>
      <c r="E788" s="13" t="str">
        <f aca="false">IF('Match Results'!F475&gt;'Match Results'!E475,"Win",IF('Match Results'!E474='Match Results'!F474,"Draw","Loss"))</f>
        <v>Draw</v>
      </c>
      <c r="F788" s="13" t="n">
        <f aca="false">IF(E788="Win",3,IF(E788="Draw",2,1))</f>
        <v>2</v>
      </c>
    </row>
    <row r="789" customFormat="false" ht="14.25" hidden="false" customHeight="false" outlineLevel="0" collapsed="false">
      <c r="A789" s="13" t="n">
        <f aca="false">'Match Results'!A198</f>
        <v>45974</v>
      </c>
      <c r="B789" s="13" t="n">
        <f aca="false">'Match Results'!B789</f>
        <v>0</v>
      </c>
      <c r="C789" s="13" t="n">
        <f aca="false">C785+1</f>
        <v>198</v>
      </c>
      <c r="D789" s="13" t="n">
        <f aca="false">'Match Results'!H198</f>
        <v>0</v>
      </c>
      <c r="E789" s="13" t="str">
        <f aca="false">IF('Match Results'!F476&gt;'Match Results'!E476,"Win",IF('Match Results'!E475='Match Results'!F475,"Draw","Loss"))</f>
        <v>Draw</v>
      </c>
      <c r="F789" s="13" t="n">
        <f aca="false">IF(E789="Win",3,IF(E789="Draw",2,1))</f>
        <v>2</v>
      </c>
    </row>
    <row r="790" customFormat="false" ht="14.25" hidden="false" customHeight="false" outlineLevel="0" collapsed="false">
      <c r="A790" s="13" t="n">
        <f aca="false">'Match Results'!A199</f>
        <v>45974</v>
      </c>
      <c r="B790" s="13" t="n">
        <f aca="false">'Match Results'!B790</f>
        <v>0</v>
      </c>
      <c r="C790" s="13" t="n">
        <f aca="false">C786+1</f>
        <v>199</v>
      </c>
      <c r="D790" s="13" t="n">
        <f aca="false">'Match Results'!C199</f>
        <v>0</v>
      </c>
      <c r="E790" s="13" t="str">
        <f aca="false">IF('Match Results'!F477&gt;'Match Results'!E477,"Win",IF('Match Results'!E476='Match Results'!F476,"Draw","Loss"))</f>
        <v>Draw</v>
      </c>
      <c r="F790" s="13" t="n">
        <f aca="false">IF(E790="Win",3,IF(E790="Draw",2,1))</f>
        <v>2</v>
      </c>
    </row>
    <row r="791" customFormat="false" ht="14.25" hidden="false" customHeight="false" outlineLevel="0" collapsed="false">
      <c r="A791" s="13" t="n">
        <f aca="false">'Match Results'!A199</f>
        <v>45974</v>
      </c>
      <c r="B791" s="13" t="n">
        <f aca="false">'Match Results'!B791</f>
        <v>0</v>
      </c>
      <c r="C791" s="13" t="n">
        <f aca="false">C787+1</f>
        <v>199</v>
      </c>
      <c r="D791" s="13" t="n">
        <f aca="false">'Match Results'!D199</f>
        <v>0</v>
      </c>
      <c r="E791" s="13" t="str">
        <f aca="false">IF('Match Results'!F478&gt;'Match Results'!E478,"Win",IF('Match Results'!E477='Match Results'!F477,"Draw","Loss"))</f>
        <v>Draw</v>
      </c>
      <c r="F791" s="13" t="n">
        <f aca="false">IF(E791="Win",3,IF(E791="Draw",2,1))</f>
        <v>2</v>
      </c>
    </row>
    <row r="792" customFormat="false" ht="14.25" hidden="false" customHeight="false" outlineLevel="0" collapsed="false">
      <c r="A792" s="13" t="n">
        <f aca="false">'Match Results'!A199</f>
        <v>45974</v>
      </c>
      <c r="B792" s="13" t="n">
        <f aca="false">'Match Results'!B792</f>
        <v>0</v>
      </c>
      <c r="C792" s="13" t="n">
        <f aca="false">C788+1</f>
        <v>199</v>
      </c>
      <c r="D792" s="13" t="n">
        <f aca="false">'Match Results'!G199</f>
        <v>0</v>
      </c>
      <c r="E792" s="13" t="str">
        <f aca="false">IF('Match Results'!F479&gt;'Match Results'!E479,"Win",IF('Match Results'!E478='Match Results'!F478,"Draw","Loss"))</f>
        <v>Draw</v>
      </c>
      <c r="F792" s="13" t="n">
        <f aca="false">IF(E792="Win",3,IF(E792="Draw",2,1))</f>
        <v>2</v>
      </c>
    </row>
    <row r="793" customFormat="false" ht="14.25" hidden="false" customHeight="false" outlineLevel="0" collapsed="false">
      <c r="A793" s="13" t="n">
        <f aca="false">'Match Results'!A199</f>
        <v>45974</v>
      </c>
      <c r="B793" s="13" t="n">
        <f aca="false">'Match Results'!B793</f>
        <v>0</v>
      </c>
      <c r="C793" s="13" t="n">
        <f aca="false">C789+1</f>
        <v>199</v>
      </c>
      <c r="D793" s="13" t="n">
        <f aca="false">'Match Results'!H199</f>
        <v>0</v>
      </c>
      <c r="E793" s="13" t="str">
        <f aca="false">IF('Match Results'!F480&gt;'Match Results'!E480,"Win",IF('Match Results'!E479='Match Results'!F479,"Draw","Loss"))</f>
        <v>Draw</v>
      </c>
      <c r="F793" s="13" t="n">
        <f aca="false">IF(E793="Win",3,IF(E793="Draw",2,1))</f>
        <v>2</v>
      </c>
    </row>
    <row r="794" customFormat="false" ht="14.25" hidden="false" customHeight="false" outlineLevel="0" collapsed="false">
      <c r="A794" s="13" t="n">
        <f aca="false">'Match Results'!A200</f>
        <v>45974</v>
      </c>
      <c r="B794" s="13" t="n">
        <f aca="false">'Match Results'!B794</f>
        <v>0</v>
      </c>
      <c r="C794" s="13" t="n">
        <f aca="false">C790+1</f>
        <v>200</v>
      </c>
      <c r="D794" s="13" t="n">
        <f aca="false">'Match Results'!C200</f>
        <v>0</v>
      </c>
      <c r="E794" s="13" t="str">
        <f aca="false">IF('Match Results'!F481&gt;'Match Results'!E481,"Win",IF('Match Results'!E480='Match Results'!F480,"Draw","Loss"))</f>
        <v>Draw</v>
      </c>
      <c r="F794" s="13" t="n">
        <f aca="false">IF(E794="Win",3,IF(E794="Draw",2,1))</f>
        <v>2</v>
      </c>
    </row>
    <row r="795" customFormat="false" ht="14.25" hidden="false" customHeight="false" outlineLevel="0" collapsed="false">
      <c r="A795" s="13" t="n">
        <f aca="false">'Match Results'!A200</f>
        <v>45974</v>
      </c>
      <c r="B795" s="13" t="n">
        <f aca="false">'Match Results'!B795</f>
        <v>0</v>
      </c>
      <c r="C795" s="13" t="n">
        <f aca="false">C791+1</f>
        <v>200</v>
      </c>
      <c r="D795" s="13" t="n">
        <f aca="false">'Match Results'!D200</f>
        <v>0</v>
      </c>
      <c r="E795" s="13" t="str">
        <f aca="false">IF('Match Results'!F482&gt;'Match Results'!E482,"Win",IF('Match Results'!E481='Match Results'!F481,"Draw","Loss"))</f>
        <v>Draw</v>
      </c>
      <c r="F795" s="13" t="n">
        <f aca="false">IF(E795="Win",3,IF(E795="Draw",2,1))</f>
        <v>2</v>
      </c>
    </row>
    <row r="796" customFormat="false" ht="14.25" hidden="false" customHeight="false" outlineLevel="0" collapsed="false">
      <c r="A796" s="13" t="n">
        <f aca="false">'Match Results'!A200</f>
        <v>45974</v>
      </c>
      <c r="B796" s="13" t="n">
        <f aca="false">'Match Results'!B796</f>
        <v>0</v>
      </c>
      <c r="C796" s="13" t="n">
        <f aca="false">C792+1</f>
        <v>200</v>
      </c>
      <c r="D796" s="13" t="n">
        <f aca="false">'Match Results'!G200</f>
        <v>0</v>
      </c>
      <c r="E796" s="13" t="str">
        <f aca="false">IF('Match Results'!F483&gt;'Match Results'!E483,"Win",IF('Match Results'!E482='Match Results'!F482,"Draw","Loss"))</f>
        <v>Draw</v>
      </c>
      <c r="F796" s="13" t="n">
        <f aca="false">IF(E796="Win",3,IF(E796="Draw",2,1))</f>
        <v>2</v>
      </c>
    </row>
    <row r="797" customFormat="false" ht="14.25" hidden="false" customHeight="false" outlineLevel="0" collapsed="false">
      <c r="A797" s="13" t="n">
        <f aca="false">'Match Results'!A200</f>
        <v>45974</v>
      </c>
      <c r="B797" s="13" t="n">
        <f aca="false">'Match Results'!B797</f>
        <v>0</v>
      </c>
      <c r="C797" s="13" t="n">
        <f aca="false">C793+1</f>
        <v>200</v>
      </c>
      <c r="D797" s="13" t="n">
        <f aca="false">'Match Results'!H200</f>
        <v>0</v>
      </c>
      <c r="E797" s="13" t="str">
        <f aca="false">IF('Match Results'!F484&gt;'Match Results'!E484,"Win",IF('Match Results'!E483='Match Results'!F483,"Draw","Loss"))</f>
        <v>Draw</v>
      </c>
      <c r="F797" s="13" t="n">
        <f aca="false">IF(E797="Win",3,IF(E797="Draw",2,1))</f>
        <v>2</v>
      </c>
    </row>
    <row r="798" customFormat="false" ht="14.25" hidden="false" customHeight="false" outlineLevel="0" collapsed="false">
      <c r="A798" s="13" t="n">
        <f aca="false">'Match Results'!A201</f>
        <v>45974</v>
      </c>
      <c r="B798" s="13" t="n">
        <f aca="false">'Match Results'!B798</f>
        <v>0</v>
      </c>
      <c r="C798" s="13" t="n">
        <f aca="false">C794+1</f>
        <v>201</v>
      </c>
      <c r="D798" s="13" t="n">
        <f aca="false">'Match Results'!C201</f>
        <v>0</v>
      </c>
      <c r="E798" s="13" t="str">
        <f aca="false">IF('Match Results'!F485&gt;'Match Results'!E485,"Win",IF('Match Results'!E484='Match Results'!F484,"Draw","Loss"))</f>
        <v>Draw</v>
      </c>
      <c r="F798" s="13" t="n">
        <f aca="false">IF(E798="Win",3,IF(E798="Draw",2,1))</f>
        <v>2</v>
      </c>
    </row>
    <row r="799" customFormat="false" ht="14.25" hidden="false" customHeight="false" outlineLevel="0" collapsed="false">
      <c r="A799" s="13" t="n">
        <f aca="false">'Match Results'!A201</f>
        <v>45974</v>
      </c>
      <c r="B799" s="13" t="n">
        <f aca="false">'Match Results'!B799</f>
        <v>0</v>
      </c>
      <c r="C799" s="13" t="n">
        <f aca="false">C795+1</f>
        <v>201</v>
      </c>
      <c r="D799" s="13" t="n">
        <f aca="false">'Match Results'!D201</f>
        <v>0</v>
      </c>
      <c r="E799" s="13" t="str">
        <f aca="false">IF('Match Results'!F486&gt;'Match Results'!E486,"Win",IF('Match Results'!E485='Match Results'!F485,"Draw","Loss"))</f>
        <v>Draw</v>
      </c>
      <c r="F799" s="13" t="n">
        <f aca="false">IF(E799="Win",3,IF(E799="Draw",2,1))</f>
        <v>2</v>
      </c>
    </row>
    <row r="800" customFormat="false" ht="14.25" hidden="false" customHeight="false" outlineLevel="0" collapsed="false">
      <c r="A800" s="13" t="n">
        <f aca="false">'Match Results'!A201</f>
        <v>45974</v>
      </c>
      <c r="B800" s="13" t="n">
        <f aca="false">'Match Results'!B800</f>
        <v>0</v>
      </c>
      <c r="C800" s="13" t="n">
        <f aca="false">C796+1</f>
        <v>201</v>
      </c>
      <c r="D800" s="13" t="n">
        <f aca="false">'Match Results'!G201</f>
        <v>0</v>
      </c>
      <c r="E800" s="13" t="str">
        <f aca="false">IF('Match Results'!F487&gt;'Match Results'!E487,"Win",IF('Match Results'!E486='Match Results'!F486,"Draw","Loss"))</f>
        <v>Draw</v>
      </c>
      <c r="F800" s="13" t="n">
        <f aca="false">IF(E800="Win",3,IF(E800="Draw",2,1))</f>
        <v>2</v>
      </c>
    </row>
    <row r="801" customFormat="false" ht="14.25" hidden="false" customHeight="false" outlineLevel="0" collapsed="false">
      <c r="A801" s="13" t="n">
        <f aca="false">'Match Results'!A201</f>
        <v>45974</v>
      </c>
      <c r="B801" s="13" t="n">
        <f aca="false">'Match Results'!B801</f>
        <v>0</v>
      </c>
      <c r="C801" s="13" t="n">
        <f aca="false">C797+1</f>
        <v>201</v>
      </c>
      <c r="D801" s="13" t="n">
        <f aca="false">'Match Results'!H201</f>
        <v>0</v>
      </c>
      <c r="E801" s="13" t="str">
        <f aca="false">IF('Match Results'!F488&gt;'Match Results'!E488,"Win",IF('Match Results'!E487='Match Results'!F487,"Draw","Loss"))</f>
        <v>Draw</v>
      </c>
      <c r="F801" s="13" t="n">
        <f aca="false">IF(E801="Win",3,IF(E801="Draw",2,1))</f>
        <v>2</v>
      </c>
    </row>
    <row r="802" customFormat="false" ht="14.25" hidden="false" customHeight="false" outlineLevel="0" collapsed="false">
      <c r="A802" s="13" t="n">
        <f aca="false">'Match Results'!A202</f>
        <v>45974</v>
      </c>
      <c r="B802" s="13" t="n">
        <f aca="false">'Match Results'!B802</f>
        <v>0</v>
      </c>
      <c r="C802" s="13" t="n">
        <f aca="false">C798+1</f>
        <v>202</v>
      </c>
      <c r="D802" s="13" t="n">
        <f aca="false">'Match Results'!C202</f>
        <v>0</v>
      </c>
      <c r="E802" s="13" t="str">
        <f aca="false">IF('Match Results'!F489&gt;'Match Results'!E489,"Win",IF('Match Results'!E488='Match Results'!F488,"Draw","Loss"))</f>
        <v>Draw</v>
      </c>
      <c r="F802" s="13" t="n">
        <f aca="false">IF(E802="Win",3,IF(E802="Draw",2,1))</f>
        <v>2</v>
      </c>
    </row>
    <row r="803" customFormat="false" ht="14.25" hidden="false" customHeight="false" outlineLevel="0" collapsed="false">
      <c r="A803" s="13" t="n">
        <f aca="false">'Match Results'!A202</f>
        <v>45974</v>
      </c>
      <c r="B803" s="13" t="n">
        <f aca="false">'Match Results'!B803</f>
        <v>0</v>
      </c>
      <c r="C803" s="13" t="n">
        <f aca="false">C799+1</f>
        <v>202</v>
      </c>
      <c r="D803" s="13" t="n">
        <f aca="false">'Match Results'!D202</f>
        <v>0</v>
      </c>
      <c r="E803" s="13" t="str">
        <f aca="false">IF('Match Results'!F490&gt;'Match Results'!E490,"Win",IF('Match Results'!E489='Match Results'!F489,"Draw","Loss"))</f>
        <v>Draw</v>
      </c>
      <c r="F803" s="13" t="n">
        <f aca="false">IF(E803="Win",3,IF(E803="Draw",2,1))</f>
        <v>2</v>
      </c>
    </row>
    <row r="804" customFormat="false" ht="14.25" hidden="false" customHeight="false" outlineLevel="0" collapsed="false">
      <c r="A804" s="13" t="n">
        <f aca="false">'Match Results'!A202</f>
        <v>45974</v>
      </c>
      <c r="B804" s="13" t="n">
        <f aca="false">'Match Results'!B804</f>
        <v>0</v>
      </c>
      <c r="C804" s="13" t="n">
        <f aca="false">C800+1</f>
        <v>202</v>
      </c>
      <c r="D804" s="13" t="n">
        <f aca="false">'Match Results'!G202</f>
        <v>0</v>
      </c>
      <c r="E804" s="13" t="str">
        <f aca="false">IF('Match Results'!F491&gt;'Match Results'!E491,"Win",IF('Match Results'!E490='Match Results'!F490,"Draw","Loss"))</f>
        <v>Draw</v>
      </c>
      <c r="F804" s="13" t="n">
        <f aca="false">IF(E804="Win",3,IF(E804="Draw",2,1))</f>
        <v>2</v>
      </c>
    </row>
    <row r="805" customFormat="false" ht="14.25" hidden="false" customHeight="false" outlineLevel="0" collapsed="false">
      <c r="A805" s="13" t="n">
        <f aca="false">'Match Results'!A202</f>
        <v>45974</v>
      </c>
      <c r="B805" s="13" t="n">
        <f aca="false">'Match Results'!B805</f>
        <v>0</v>
      </c>
      <c r="C805" s="13" t="n">
        <f aca="false">C801+1</f>
        <v>202</v>
      </c>
      <c r="D805" s="13" t="n">
        <f aca="false">'Match Results'!H202</f>
        <v>0</v>
      </c>
      <c r="E805" s="13" t="str">
        <f aca="false">IF('Match Results'!F492&gt;'Match Results'!E492,"Win",IF('Match Results'!E491='Match Results'!F491,"Draw","Loss"))</f>
        <v>Draw</v>
      </c>
      <c r="F805" s="13" t="n">
        <f aca="false">IF(E805="Win",3,IF(E805="Draw",2,1))</f>
        <v>2</v>
      </c>
    </row>
    <row r="806" customFormat="false" ht="14.25" hidden="false" customHeight="false" outlineLevel="0" collapsed="false">
      <c r="A806" s="13" t="n">
        <f aca="false">'Match Results'!A203</f>
        <v>45960</v>
      </c>
      <c r="B806" s="13" t="n">
        <f aca="false">'Match Results'!B806</f>
        <v>0</v>
      </c>
      <c r="C806" s="13" t="n">
        <f aca="false">C802+1</f>
        <v>203</v>
      </c>
      <c r="D806" s="13" t="n">
        <f aca="false">'Match Results'!C203</f>
        <v>0</v>
      </c>
      <c r="E806" s="13" t="str">
        <f aca="false">IF('Match Results'!F493&gt;'Match Results'!E493,"Win",IF('Match Results'!E492='Match Results'!F492,"Draw","Loss"))</f>
        <v>Draw</v>
      </c>
      <c r="F806" s="13" t="n">
        <f aca="false">IF(E806="Win",3,IF(E806="Draw",2,1))</f>
        <v>2</v>
      </c>
    </row>
    <row r="807" customFormat="false" ht="14.25" hidden="false" customHeight="false" outlineLevel="0" collapsed="false">
      <c r="A807" s="13" t="n">
        <f aca="false">'Match Results'!A203</f>
        <v>45960</v>
      </c>
      <c r="B807" s="13" t="n">
        <f aca="false">'Match Results'!B807</f>
        <v>0</v>
      </c>
      <c r="C807" s="13" t="n">
        <f aca="false">C803+1</f>
        <v>203</v>
      </c>
      <c r="D807" s="13" t="n">
        <f aca="false">'Match Results'!D203</f>
        <v>0</v>
      </c>
      <c r="E807" s="13" t="str">
        <f aca="false">IF('Match Results'!F494&gt;'Match Results'!E494,"Win",IF('Match Results'!E493='Match Results'!F493,"Draw","Loss"))</f>
        <v>Draw</v>
      </c>
      <c r="F807" s="13" t="n">
        <f aca="false">IF(E807="Win",3,IF(E807="Draw",2,1))</f>
        <v>2</v>
      </c>
    </row>
    <row r="808" customFormat="false" ht="14.25" hidden="false" customHeight="false" outlineLevel="0" collapsed="false">
      <c r="A808" s="13" t="n">
        <f aca="false">'Match Results'!A203</f>
        <v>45960</v>
      </c>
      <c r="B808" s="13" t="n">
        <f aca="false">'Match Results'!B808</f>
        <v>0</v>
      </c>
      <c r="C808" s="13" t="n">
        <f aca="false">C804+1</f>
        <v>203</v>
      </c>
      <c r="D808" s="13" t="n">
        <f aca="false">'Match Results'!G203</f>
        <v>0</v>
      </c>
      <c r="E808" s="13" t="str">
        <f aca="false">IF('Match Results'!F495&gt;'Match Results'!E495,"Win",IF('Match Results'!E494='Match Results'!F494,"Draw","Loss"))</f>
        <v>Draw</v>
      </c>
      <c r="F808" s="13" t="n">
        <f aca="false">IF(E808="Win",3,IF(E808="Draw",2,1))</f>
        <v>2</v>
      </c>
    </row>
    <row r="809" customFormat="false" ht="14.25" hidden="false" customHeight="false" outlineLevel="0" collapsed="false">
      <c r="A809" s="13" t="n">
        <f aca="false">'Match Results'!A203</f>
        <v>45960</v>
      </c>
      <c r="B809" s="13" t="n">
        <f aca="false">'Match Results'!B809</f>
        <v>0</v>
      </c>
      <c r="C809" s="13" t="n">
        <f aca="false">C805+1</f>
        <v>203</v>
      </c>
      <c r="D809" s="13" t="n">
        <f aca="false">'Match Results'!H203</f>
        <v>0</v>
      </c>
      <c r="E809" s="13" t="str">
        <f aca="false">IF('Match Results'!F496&gt;'Match Results'!E496,"Win",IF('Match Results'!E495='Match Results'!F495,"Draw","Loss"))</f>
        <v>Draw</v>
      </c>
      <c r="F809" s="13" t="n">
        <f aca="false">IF(E809="Win",3,IF(E809="Draw",2,1))</f>
        <v>2</v>
      </c>
    </row>
    <row r="810" customFormat="false" ht="14.25" hidden="false" customHeight="false" outlineLevel="0" collapsed="false">
      <c r="A810" s="13" t="n">
        <f aca="false">'Match Results'!A204</f>
        <v>45953</v>
      </c>
      <c r="B810" s="13" t="n">
        <f aca="false">'Match Results'!B810</f>
        <v>0</v>
      </c>
      <c r="C810" s="13" t="n">
        <f aca="false">C806+1</f>
        <v>204</v>
      </c>
      <c r="D810" s="13" t="n">
        <f aca="false">'Match Results'!C204</f>
        <v>0</v>
      </c>
      <c r="E810" s="13" t="str">
        <f aca="false">IF('Match Results'!F497&gt;'Match Results'!E497,"Win",IF('Match Results'!E496='Match Results'!F496,"Draw","Loss"))</f>
        <v>Draw</v>
      </c>
      <c r="F810" s="13" t="n">
        <f aca="false">IF(E810="Win",3,IF(E810="Draw",2,1))</f>
        <v>2</v>
      </c>
    </row>
    <row r="811" customFormat="false" ht="14.25" hidden="false" customHeight="false" outlineLevel="0" collapsed="false">
      <c r="A811" s="13" t="n">
        <f aca="false">'Match Results'!A204</f>
        <v>45953</v>
      </c>
      <c r="B811" s="13" t="n">
        <f aca="false">'Match Results'!B811</f>
        <v>0</v>
      </c>
      <c r="C811" s="13" t="n">
        <f aca="false">C807+1</f>
        <v>204</v>
      </c>
      <c r="D811" s="13" t="n">
        <f aca="false">'Match Results'!D204</f>
        <v>0</v>
      </c>
      <c r="E811" s="13" t="str">
        <f aca="false">IF('Match Results'!F498&gt;'Match Results'!E498,"Win",IF('Match Results'!E497='Match Results'!F497,"Draw","Loss"))</f>
        <v>Draw</v>
      </c>
      <c r="F811" s="13" t="n">
        <f aca="false">IF(E811="Win",3,IF(E811="Draw",2,1))</f>
        <v>2</v>
      </c>
    </row>
    <row r="812" customFormat="false" ht="14.25" hidden="false" customHeight="false" outlineLevel="0" collapsed="false">
      <c r="A812" s="13" t="n">
        <f aca="false">'Match Results'!A204</f>
        <v>45953</v>
      </c>
      <c r="B812" s="13" t="n">
        <f aca="false">'Match Results'!B812</f>
        <v>0</v>
      </c>
      <c r="C812" s="13" t="n">
        <f aca="false">C808+1</f>
        <v>204</v>
      </c>
      <c r="D812" s="13" t="n">
        <f aca="false">'Match Results'!G204</f>
        <v>0</v>
      </c>
      <c r="E812" s="13" t="str">
        <f aca="false">IF('Match Results'!F499&gt;'Match Results'!E499,"Win",IF('Match Results'!E498='Match Results'!F498,"Draw","Loss"))</f>
        <v>Draw</v>
      </c>
      <c r="F812" s="13" t="n">
        <f aca="false">IF(E812="Win",3,IF(E812="Draw",2,1))</f>
        <v>2</v>
      </c>
    </row>
    <row r="813" customFormat="false" ht="14.25" hidden="false" customHeight="false" outlineLevel="0" collapsed="false">
      <c r="A813" s="13" t="n">
        <f aca="false">'Match Results'!A204</f>
        <v>45953</v>
      </c>
      <c r="B813" s="13" t="n">
        <f aca="false">'Match Results'!B813</f>
        <v>0</v>
      </c>
      <c r="C813" s="13" t="n">
        <f aca="false">C809+1</f>
        <v>204</v>
      </c>
      <c r="D813" s="13" t="n">
        <f aca="false">'Match Results'!H204</f>
        <v>0</v>
      </c>
      <c r="E813" s="13" t="str">
        <f aca="false">IF('Match Results'!F500&gt;'Match Results'!E500,"Win",IF('Match Results'!E499='Match Results'!F499,"Draw","Loss"))</f>
        <v>Draw</v>
      </c>
      <c r="F813" s="13" t="n">
        <f aca="false">IF(E813="Win",3,IF(E813="Draw",2,1))</f>
        <v>2</v>
      </c>
    </row>
    <row r="814" customFormat="false" ht="14.25" hidden="false" customHeight="false" outlineLevel="0" collapsed="false">
      <c r="A814" s="13" t="n">
        <f aca="false">'Match Results'!A205</f>
        <v>45953</v>
      </c>
      <c r="B814" s="13" t="n">
        <f aca="false">'Match Results'!B814</f>
        <v>0</v>
      </c>
      <c r="C814" s="13" t="n">
        <f aca="false">C810+1</f>
        <v>205</v>
      </c>
      <c r="D814" s="13" t="n">
        <f aca="false">'Match Results'!C205</f>
        <v>0</v>
      </c>
      <c r="E814" s="13" t="str">
        <f aca="false">IF('Match Results'!F501&gt;'Match Results'!E501,"Win",IF('Match Results'!E500='Match Results'!F500,"Draw","Loss"))</f>
        <v>Draw</v>
      </c>
      <c r="F814" s="13" t="n">
        <f aca="false">IF(E814="Win",3,IF(E814="Draw",2,1))</f>
        <v>2</v>
      </c>
    </row>
    <row r="815" customFormat="false" ht="14.25" hidden="false" customHeight="false" outlineLevel="0" collapsed="false">
      <c r="A815" s="13" t="n">
        <f aca="false">'Match Results'!A205</f>
        <v>45953</v>
      </c>
      <c r="B815" s="13" t="n">
        <f aca="false">'Match Results'!B815</f>
        <v>0</v>
      </c>
      <c r="C815" s="13" t="n">
        <f aca="false">C811+1</f>
        <v>205</v>
      </c>
      <c r="D815" s="13" t="n">
        <f aca="false">'Match Results'!D205</f>
        <v>0</v>
      </c>
      <c r="E815" s="13" t="str">
        <f aca="false">IF('Match Results'!F502&gt;'Match Results'!E502,"Win",IF('Match Results'!E501='Match Results'!F501,"Draw","Loss"))</f>
        <v>Draw</v>
      </c>
      <c r="F815" s="13" t="n">
        <f aca="false">IF(E815="Win",3,IF(E815="Draw",2,1))</f>
        <v>2</v>
      </c>
    </row>
    <row r="816" customFormat="false" ht="14.25" hidden="false" customHeight="false" outlineLevel="0" collapsed="false">
      <c r="A816" s="13" t="n">
        <f aca="false">'Match Results'!A205</f>
        <v>45953</v>
      </c>
      <c r="B816" s="13" t="n">
        <f aca="false">'Match Results'!B816</f>
        <v>0</v>
      </c>
      <c r="C816" s="13" t="n">
        <f aca="false">C812+1</f>
        <v>205</v>
      </c>
      <c r="D816" s="13" t="n">
        <f aca="false">'Match Results'!G205</f>
        <v>0</v>
      </c>
      <c r="E816" s="13" t="str">
        <f aca="false">IF('Match Results'!F503&gt;'Match Results'!E503,"Win",IF('Match Results'!E502='Match Results'!F502,"Draw","Loss"))</f>
        <v>Draw</v>
      </c>
      <c r="F816" s="13" t="n">
        <f aca="false">IF(E816="Win",3,IF(E816="Draw",2,1))</f>
        <v>2</v>
      </c>
    </row>
    <row r="817" customFormat="false" ht="14.25" hidden="false" customHeight="false" outlineLevel="0" collapsed="false">
      <c r="A817" s="13" t="n">
        <f aca="false">'Match Results'!A205</f>
        <v>45953</v>
      </c>
      <c r="B817" s="13" t="n">
        <f aca="false">'Match Results'!B817</f>
        <v>0</v>
      </c>
      <c r="C817" s="13" t="n">
        <f aca="false">C813+1</f>
        <v>205</v>
      </c>
      <c r="D817" s="13" t="n">
        <f aca="false">'Match Results'!H205</f>
        <v>0</v>
      </c>
      <c r="E817" s="13" t="str">
        <f aca="false">IF('Match Results'!F504&gt;'Match Results'!E504,"Win",IF('Match Results'!E503='Match Results'!F503,"Draw","Loss"))</f>
        <v>Draw</v>
      </c>
      <c r="F817" s="13" t="n">
        <f aca="false">IF(E817="Win",3,IF(E817="Draw",2,1))</f>
        <v>2</v>
      </c>
    </row>
    <row r="818" customFormat="false" ht="14.25" hidden="false" customHeight="false" outlineLevel="0" collapsed="false">
      <c r="A818" s="13" t="n">
        <f aca="false">'Match Results'!A206</f>
        <v>45953</v>
      </c>
      <c r="B818" s="13" t="n">
        <f aca="false">'Match Results'!B818</f>
        <v>0</v>
      </c>
      <c r="C818" s="13" t="n">
        <f aca="false">C814+1</f>
        <v>206</v>
      </c>
      <c r="D818" s="13" t="n">
        <f aca="false">'Match Results'!C206</f>
        <v>0</v>
      </c>
      <c r="E818" s="13" t="str">
        <f aca="false">IF('Match Results'!F505&gt;'Match Results'!E505,"Win",IF('Match Results'!E504='Match Results'!F504,"Draw","Loss"))</f>
        <v>Draw</v>
      </c>
      <c r="F818" s="13" t="n">
        <f aca="false">IF(E818="Win",3,IF(E818="Draw",2,1))</f>
        <v>2</v>
      </c>
    </row>
    <row r="819" customFormat="false" ht="14.25" hidden="false" customHeight="false" outlineLevel="0" collapsed="false">
      <c r="A819" s="13" t="n">
        <f aca="false">'Match Results'!A206</f>
        <v>45953</v>
      </c>
      <c r="B819" s="13" t="n">
        <f aca="false">'Match Results'!B819</f>
        <v>0</v>
      </c>
      <c r="C819" s="13" t="n">
        <f aca="false">C815+1</f>
        <v>206</v>
      </c>
      <c r="D819" s="13" t="n">
        <f aca="false">'Match Results'!D206</f>
        <v>0</v>
      </c>
      <c r="E819" s="13" t="str">
        <f aca="false">IF('Match Results'!F506&gt;'Match Results'!E506,"Win",IF('Match Results'!E505='Match Results'!F505,"Draw","Loss"))</f>
        <v>Draw</v>
      </c>
      <c r="F819" s="13" t="n">
        <f aca="false">IF(E819="Win",3,IF(E819="Draw",2,1))</f>
        <v>2</v>
      </c>
    </row>
    <row r="820" customFormat="false" ht="14.25" hidden="false" customHeight="false" outlineLevel="0" collapsed="false">
      <c r="A820" s="13" t="n">
        <f aca="false">'Match Results'!A206</f>
        <v>45953</v>
      </c>
      <c r="B820" s="13" t="n">
        <f aca="false">'Match Results'!B820</f>
        <v>0</v>
      </c>
      <c r="C820" s="13" t="n">
        <f aca="false">C816+1</f>
        <v>206</v>
      </c>
      <c r="D820" s="13" t="n">
        <f aca="false">'Match Results'!G206</f>
        <v>0</v>
      </c>
      <c r="E820" s="13" t="str">
        <f aca="false">IF('Match Results'!F507&gt;'Match Results'!E507,"Win",IF('Match Results'!E506='Match Results'!F506,"Draw","Loss"))</f>
        <v>Draw</v>
      </c>
      <c r="F820" s="13" t="n">
        <f aca="false">IF(E820="Win",3,IF(E820="Draw",2,1))</f>
        <v>2</v>
      </c>
    </row>
    <row r="821" customFormat="false" ht="14.25" hidden="false" customHeight="false" outlineLevel="0" collapsed="false">
      <c r="A821" s="13" t="n">
        <f aca="false">'Match Results'!A206</f>
        <v>45953</v>
      </c>
      <c r="B821" s="13" t="n">
        <f aca="false">'Match Results'!B821</f>
        <v>0</v>
      </c>
      <c r="C821" s="13" t="n">
        <f aca="false">C817+1</f>
        <v>206</v>
      </c>
      <c r="D821" s="13" t="n">
        <f aca="false">'Match Results'!H206</f>
        <v>0</v>
      </c>
      <c r="E821" s="13" t="str">
        <f aca="false">IF('Match Results'!F508&gt;'Match Results'!E508,"Win",IF('Match Results'!E507='Match Results'!F507,"Draw","Loss"))</f>
        <v>Draw</v>
      </c>
      <c r="F821" s="13" t="n">
        <f aca="false">IF(E821="Win",3,IF(E821="Draw",2,1))</f>
        <v>2</v>
      </c>
    </row>
    <row r="822" customFormat="false" ht="14.25" hidden="false" customHeight="false" outlineLevel="0" collapsed="false">
      <c r="A822" s="13" t="n">
        <f aca="false">'Match Results'!A207</f>
        <v>45953</v>
      </c>
      <c r="B822" s="13" t="n">
        <f aca="false">'Match Results'!B822</f>
        <v>0</v>
      </c>
      <c r="C822" s="13" t="n">
        <f aca="false">C818+1</f>
        <v>207</v>
      </c>
      <c r="D822" s="13" t="n">
        <f aca="false">'Match Results'!C207</f>
        <v>0</v>
      </c>
      <c r="E822" s="13" t="str">
        <f aca="false">IF('Match Results'!F509&gt;'Match Results'!E509,"Win",IF('Match Results'!E508='Match Results'!F508,"Draw","Loss"))</f>
        <v>Draw</v>
      </c>
      <c r="F822" s="13" t="n">
        <f aca="false">IF(E822="Win",3,IF(E822="Draw",2,1))</f>
        <v>2</v>
      </c>
    </row>
    <row r="823" customFormat="false" ht="14.25" hidden="false" customHeight="false" outlineLevel="0" collapsed="false">
      <c r="A823" s="13" t="n">
        <f aca="false">'Match Results'!A207</f>
        <v>45953</v>
      </c>
      <c r="B823" s="13" t="n">
        <f aca="false">'Match Results'!B823</f>
        <v>0</v>
      </c>
      <c r="C823" s="13" t="n">
        <f aca="false">C819+1</f>
        <v>207</v>
      </c>
      <c r="D823" s="13" t="n">
        <f aca="false">'Match Results'!D207</f>
        <v>0</v>
      </c>
      <c r="E823" s="13" t="str">
        <f aca="false">IF('Match Results'!F510&gt;'Match Results'!E510,"Win",IF('Match Results'!E509='Match Results'!F509,"Draw","Loss"))</f>
        <v>Draw</v>
      </c>
      <c r="F823" s="13" t="n">
        <f aca="false">IF(E823="Win",3,IF(E823="Draw",2,1))</f>
        <v>2</v>
      </c>
    </row>
    <row r="824" customFormat="false" ht="14.25" hidden="false" customHeight="false" outlineLevel="0" collapsed="false">
      <c r="A824" s="13" t="n">
        <f aca="false">'Match Results'!A207</f>
        <v>45953</v>
      </c>
      <c r="B824" s="13" t="n">
        <f aca="false">'Match Results'!B824</f>
        <v>0</v>
      </c>
      <c r="C824" s="13" t="n">
        <f aca="false">C820+1</f>
        <v>207</v>
      </c>
      <c r="D824" s="13" t="n">
        <f aca="false">'Match Results'!G207</f>
        <v>0</v>
      </c>
      <c r="E824" s="13" t="str">
        <f aca="false">IF('Match Results'!F511&gt;'Match Results'!E511,"Win",IF('Match Results'!E510='Match Results'!F510,"Draw","Loss"))</f>
        <v>Draw</v>
      </c>
      <c r="F824" s="13" t="n">
        <f aca="false">IF(E824="Win",3,IF(E824="Draw",2,1))</f>
        <v>2</v>
      </c>
    </row>
    <row r="825" customFormat="false" ht="14.25" hidden="false" customHeight="false" outlineLevel="0" collapsed="false">
      <c r="A825" s="13" t="n">
        <f aca="false">'Match Results'!A207</f>
        <v>45953</v>
      </c>
      <c r="B825" s="13" t="n">
        <f aca="false">'Match Results'!B825</f>
        <v>0</v>
      </c>
      <c r="C825" s="13" t="n">
        <f aca="false">C821+1</f>
        <v>207</v>
      </c>
      <c r="D825" s="13" t="n">
        <f aca="false">'Match Results'!H207</f>
        <v>0</v>
      </c>
      <c r="E825" s="13" t="str">
        <f aca="false">IF('Match Results'!F512&gt;'Match Results'!E512,"Win",IF('Match Results'!E511='Match Results'!F511,"Draw","Loss"))</f>
        <v>Draw</v>
      </c>
      <c r="F825" s="13" t="n">
        <f aca="false">IF(E825="Win",3,IF(E825="Draw",2,1))</f>
        <v>2</v>
      </c>
    </row>
    <row r="826" customFormat="false" ht="14.25" hidden="false" customHeight="false" outlineLevel="0" collapsed="false">
      <c r="A826" s="13" t="n">
        <f aca="false">'Match Results'!A208</f>
        <v>45953</v>
      </c>
      <c r="B826" s="13" t="n">
        <f aca="false">'Match Results'!B826</f>
        <v>0</v>
      </c>
      <c r="C826" s="13" t="n">
        <f aca="false">C822+1</f>
        <v>208</v>
      </c>
      <c r="D826" s="13" t="n">
        <f aca="false">'Match Results'!C208</f>
        <v>0</v>
      </c>
      <c r="E826" s="13" t="str">
        <f aca="false">IF('Match Results'!F513&gt;'Match Results'!E513,"Win",IF('Match Results'!E512='Match Results'!F512,"Draw","Loss"))</f>
        <v>Draw</v>
      </c>
      <c r="F826" s="13" t="n">
        <f aca="false">IF(E826="Win",3,IF(E826="Draw",2,1))</f>
        <v>2</v>
      </c>
    </row>
    <row r="827" customFormat="false" ht="14.25" hidden="false" customHeight="false" outlineLevel="0" collapsed="false">
      <c r="A827" s="13" t="n">
        <f aca="false">'Match Results'!A208</f>
        <v>45953</v>
      </c>
      <c r="B827" s="13" t="n">
        <f aca="false">'Match Results'!B827</f>
        <v>0</v>
      </c>
      <c r="C827" s="13" t="n">
        <f aca="false">C823+1</f>
        <v>208</v>
      </c>
      <c r="D827" s="13" t="n">
        <f aca="false">'Match Results'!D208</f>
        <v>0</v>
      </c>
      <c r="E827" s="13" t="str">
        <f aca="false">IF('Match Results'!F514&gt;'Match Results'!E514,"Win",IF('Match Results'!E513='Match Results'!F513,"Draw","Loss"))</f>
        <v>Draw</v>
      </c>
      <c r="F827" s="13" t="n">
        <f aca="false">IF(E827="Win",3,IF(E827="Draw",2,1))</f>
        <v>2</v>
      </c>
    </row>
    <row r="828" customFormat="false" ht="14.25" hidden="false" customHeight="false" outlineLevel="0" collapsed="false">
      <c r="A828" s="13" t="n">
        <f aca="false">'Match Results'!A208</f>
        <v>45953</v>
      </c>
      <c r="B828" s="13" t="n">
        <f aca="false">'Match Results'!B828</f>
        <v>0</v>
      </c>
      <c r="C828" s="13" t="n">
        <f aca="false">C824+1</f>
        <v>208</v>
      </c>
      <c r="D828" s="13" t="n">
        <f aca="false">'Match Results'!G208</f>
        <v>0</v>
      </c>
      <c r="E828" s="13" t="str">
        <f aca="false">IF('Match Results'!F515&gt;'Match Results'!E515,"Win",IF('Match Results'!E514='Match Results'!F514,"Draw","Loss"))</f>
        <v>Draw</v>
      </c>
      <c r="F828" s="13" t="n">
        <f aca="false">IF(E828="Win",3,IF(E828="Draw",2,1))</f>
        <v>2</v>
      </c>
    </row>
    <row r="829" customFormat="false" ht="14.25" hidden="false" customHeight="false" outlineLevel="0" collapsed="false">
      <c r="A829" s="13" t="n">
        <f aca="false">'Match Results'!A208</f>
        <v>45953</v>
      </c>
      <c r="B829" s="13" t="n">
        <f aca="false">'Match Results'!B829</f>
        <v>0</v>
      </c>
      <c r="C829" s="13" t="n">
        <f aca="false">C825+1</f>
        <v>208</v>
      </c>
      <c r="D829" s="13" t="n">
        <f aca="false">'Match Results'!H208</f>
        <v>0</v>
      </c>
      <c r="E829" s="13" t="str">
        <f aca="false">IF('Match Results'!F516&gt;'Match Results'!E516,"Win",IF('Match Results'!E515='Match Results'!F515,"Draw","Loss"))</f>
        <v>Draw</v>
      </c>
      <c r="F829" s="13" t="n">
        <f aca="false">IF(E829="Win",3,IF(E829="Draw",2,1))</f>
        <v>2</v>
      </c>
    </row>
    <row r="830" customFormat="false" ht="14.25" hidden="false" customHeight="false" outlineLevel="0" collapsed="false">
      <c r="A830" s="13" t="n">
        <f aca="false">'Match Results'!A209</f>
        <v>45953</v>
      </c>
      <c r="B830" s="13" t="n">
        <f aca="false">'Match Results'!B830</f>
        <v>0</v>
      </c>
      <c r="C830" s="13" t="n">
        <f aca="false">C826+1</f>
        <v>209</v>
      </c>
      <c r="D830" s="13" t="n">
        <f aca="false">'Match Results'!C209</f>
        <v>0</v>
      </c>
      <c r="E830" s="13" t="str">
        <f aca="false">IF('Match Results'!F517&gt;'Match Results'!E517,"Win",IF('Match Results'!E516='Match Results'!F516,"Draw","Loss"))</f>
        <v>Draw</v>
      </c>
      <c r="F830" s="13" t="n">
        <f aca="false">IF(E830="Win",3,IF(E830="Draw",2,1))</f>
        <v>2</v>
      </c>
    </row>
    <row r="831" customFormat="false" ht="14.25" hidden="false" customHeight="false" outlineLevel="0" collapsed="false">
      <c r="A831" s="13" t="n">
        <f aca="false">'Match Results'!A209</f>
        <v>45953</v>
      </c>
      <c r="B831" s="13" t="n">
        <f aca="false">'Match Results'!B831</f>
        <v>0</v>
      </c>
      <c r="C831" s="13" t="n">
        <f aca="false">C827+1</f>
        <v>209</v>
      </c>
      <c r="D831" s="13" t="n">
        <f aca="false">'Match Results'!D209</f>
        <v>0</v>
      </c>
      <c r="E831" s="13" t="str">
        <f aca="false">IF('Match Results'!F518&gt;'Match Results'!E518,"Win",IF('Match Results'!E517='Match Results'!F517,"Draw","Loss"))</f>
        <v>Draw</v>
      </c>
      <c r="F831" s="13" t="n">
        <f aca="false">IF(E831="Win",3,IF(E831="Draw",2,1))</f>
        <v>2</v>
      </c>
    </row>
    <row r="832" customFormat="false" ht="14.25" hidden="false" customHeight="false" outlineLevel="0" collapsed="false">
      <c r="A832" s="13" t="n">
        <f aca="false">'Match Results'!A209</f>
        <v>45953</v>
      </c>
      <c r="B832" s="13" t="n">
        <f aca="false">'Match Results'!B832</f>
        <v>0</v>
      </c>
      <c r="C832" s="13" t="n">
        <f aca="false">C828+1</f>
        <v>209</v>
      </c>
      <c r="D832" s="13" t="n">
        <f aca="false">'Match Results'!G209</f>
        <v>0</v>
      </c>
      <c r="E832" s="13" t="str">
        <f aca="false">IF('Match Results'!F519&gt;'Match Results'!E519,"Win",IF('Match Results'!E518='Match Results'!F518,"Draw","Loss"))</f>
        <v>Draw</v>
      </c>
      <c r="F832" s="13" t="n">
        <f aca="false">IF(E832="Win",3,IF(E832="Draw",2,1))</f>
        <v>2</v>
      </c>
    </row>
    <row r="833" customFormat="false" ht="14.25" hidden="false" customHeight="false" outlineLevel="0" collapsed="false">
      <c r="A833" s="13" t="n">
        <f aca="false">'Match Results'!A209</f>
        <v>45953</v>
      </c>
      <c r="B833" s="13" t="n">
        <f aca="false">'Match Results'!B833</f>
        <v>0</v>
      </c>
      <c r="C833" s="13" t="n">
        <f aca="false">C829+1</f>
        <v>209</v>
      </c>
      <c r="D833" s="13" t="n">
        <f aca="false">'Match Results'!H209</f>
        <v>0</v>
      </c>
      <c r="E833" s="13" t="str">
        <f aca="false">IF('Match Results'!F520&gt;'Match Results'!E520,"Win",IF('Match Results'!E519='Match Results'!F519,"Draw","Loss"))</f>
        <v>Draw</v>
      </c>
      <c r="F833" s="13" t="n">
        <f aca="false">IF(E833="Win",3,IF(E833="Draw",2,1))</f>
        <v>2</v>
      </c>
    </row>
    <row r="834" customFormat="false" ht="14.25" hidden="false" customHeight="false" outlineLevel="0" collapsed="false">
      <c r="A834" s="13" t="n">
        <f aca="false">'Match Results'!A210</f>
        <v>45953</v>
      </c>
      <c r="B834" s="13" t="n">
        <f aca="false">'Match Results'!B834</f>
        <v>0</v>
      </c>
      <c r="C834" s="13" t="n">
        <f aca="false">C830+1</f>
        <v>210</v>
      </c>
      <c r="D834" s="13" t="n">
        <f aca="false">'Match Results'!C210</f>
        <v>0</v>
      </c>
      <c r="E834" s="13" t="str">
        <f aca="false">IF('Match Results'!F521&gt;'Match Results'!E521,"Win",IF('Match Results'!E520='Match Results'!F520,"Draw","Loss"))</f>
        <v>Draw</v>
      </c>
      <c r="F834" s="13" t="n">
        <f aca="false">IF(E834="Win",3,IF(E834="Draw",2,1))</f>
        <v>2</v>
      </c>
    </row>
    <row r="835" customFormat="false" ht="14.25" hidden="false" customHeight="false" outlineLevel="0" collapsed="false">
      <c r="A835" s="13" t="n">
        <f aca="false">'Match Results'!A210</f>
        <v>45953</v>
      </c>
      <c r="B835" s="13" t="n">
        <f aca="false">'Match Results'!B835</f>
        <v>0</v>
      </c>
      <c r="C835" s="13" t="n">
        <f aca="false">C831+1</f>
        <v>210</v>
      </c>
      <c r="D835" s="13" t="n">
        <f aca="false">'Match Results'!D210</f>
        <v>0</v>
      </c>
      <c r="E835" s="13" t="str">
        <f aca="false">IF('Match Results'!F522&gt;'Match Results'!E522,"Win",IF('Match Results'!E521='Match Results'!F521,"Draw","Loss"))</f>
        <v>Draw</v>
      </c>
      <c r="F835" s="13" t="n">
        <f aca="false">IF(E835="Win",3,IF(E835="Draw",2,1))</f>
        <v>2</v>
      </c>
    </row>
    <row r="836" customFormat="false" ht="14.25" hidden="false" customHeight="false" outlineLevel="0" collapsed="false">
      <c r="A836" s="13" t="n">
        <f aca="false">'Match Results'!A210</f>
        <v>45953</v>
      </c>
      <c r="B836" s="13" t="n">
        <f aca="false">'Match Results'!B836</f>
        <v>0</v>
      </c>
      <c r="C836" s="13" t="n">
        <f aca="false">C832+1</f>
        <v>210</v>
      </c>
      <c r="D836" s="13" t="n">
        <f aca="false">'Match Results'!G210</f>
        <v>0</v>
      </c>
      <c r="E836" s="13" t="str">
        <f aca="false">IF('Match Results'!F523&gt;'Match Results'!E523,"Win",IF('Match Results'!E522='Match Results'!F522,"Draw","Loss"))</f>
        <v>Draw</v>
      </c>
      <c r="F836" s="13" t="n">
        <f aca="false">IF(E836="Win",3,IF(E836="Draw",2,1))</f>
        <v>2</v>
      </c>
    </row>
    <row r="837" customFormat="false" ht="14.25" hidden="false" customHeight="false" outlineLevel="0" collapsed="false">
      <c r="A837" s="13" t="n">
        <f aca="false">'Match Results'!A210</f>
        <v>45953</v>
      </c>
      <c r="B837" s="13" t="n">
        <f aca="false">'Match Results'!B837</f>
        <v>0</v>
      </c>
      <c r="C837" s="13" t="n">
        <f aca="false">C833+1</f>
        <v>210</v>
      </c>
      <c r="D837" s="13" t="n">
        <f aca="false">'Match Results'!H210</f>
        <v>0</v>
      </c>
      <c r="E837" s="13" t="str">
        <f aca="false">IF('Match Results'!F524&gt;'Match Results'!E524,"Win",IF('Match Results'!E523='Match Results'!F523,"Draw","Loss"))</f>
        <v>Draw</v>
      </c>
      <c r="F837" s="13" t="n">
        <f aca="false">IF(E837="Win",3,IF(E837="Draw",2,1))</f>
        <v>2</v>
      </c>
    </row>
    <row r="838" customFormat="false" ht="14.25" hidden="false" customHeight="false" outlineLevel="0" collapsed="false">
      <c r="A838" s="13" t="n">
        <f aca="false">'Match Results'!A211</f>
        <v>45953</v>
      </c>
      <c r="B838" s="13" t="n">
        <f aca="false">'Match Results'!B838</f>
        <v>0</v>
      </c>
      <c r="C838" s="13" t="n">
        <f aca="false">C834+1</f>
        <v>211</v>
      </c>
      <c r="D838" s="13" t="n">
        <f aca="false">'Match Results'!C211</f>
        <v>0</v>
      </c>
      <c r="E838" s="13" t="str">
        <f aca="false">IF('Match Results'!F525&gt;'Match Results'!E525,"Win",IF('Match Results'!E524='Match Results'!F524,"Draw","Loss"))</f>
        <v>Draw</v>
      </c>
      <c r="F838" s="13" t="n">
        <f aca="false">IF(E838="Win",3,IF(E838="Draw",2,1))</f>
        <v>2</v>
      </c>
    </row>
    <row r="839" customFormat="false" ht="14.25" hidden="false" customHeight="false" outlineLevel="0" collapsed="false">
      <c r="A839" s="13" t="n">
        <f aca="false">'Match Results'!A211</f>
        <v>45953</v>
      </c>
      <c r="B839" s="13" t="n">
        <f aca="false">'Match Results'!B839</f>
        <v>0</v>
      </c>
      <c r="C839" s="13" t="n">
        <f aca="false">C835+1</f>
        <v>211</v>
      </c>
      <c r="D839" s="13" t="n">
        <f aca="false">'Match Results'!D211</f>
        <v>0</v>
      </c>
      <c r="E839" s="13" t="str">
        <f aca="false">IF('Match Results'!F526&gt;'Match Results'!E526,"Win",IF('Match Results'!E525='Match Results'!F525,"Draw","Loss"))</f>
        <v>Draw</v>
      </c>
      <c r="F839" s="13" t="n">
        <f aca="false">IF(E839="Win",3,IF(E839="Draw",2,1))</f>
        <v>2</v>
      </c>
    </row>
    <row r="840" customFormat="false" ht="14.25" hidden="false" customHeight="false" outlineLevel="0" collapsed="false">
      <c r="A840" s="13" t="n">
        <f aca="false">'Match Results'!A211</f>
        <v>45953</v>
      </c>
      <c r="B840" s="13" t="n">
        <f aca="false">'Match Results'!B840</f>
        <v>0</v>
      </c>
      <c r="C840" s="13" t="n">
        <f aca="false">C836+1</f>
        <v>211</v>
      </c>
      <c r="D840" s="13" t="n">
        <f aca="false">'Match Results'!G211</f>
        <v>0</v>
      </c>
      <c r="E840" s="13" t="str">
        <f aca="false">IF('Match Results'!F527&gt;'Match Results'!E527,"Win",IF('Match Results'!E526='Match Results'!F526,"Draw","Loss"))</f>
        <v>Draw</v>
      </c>
      <c r="F840" s="13" t="n">
        <f aca="false">IF(E840="Win",3,IF(E840="Draw",2,1))</f>
        <v>2</v>
      </c>
    </row>
    <row r="841" customFormat="false" ht="14.25" hidden="false" customHeight="false" outlineLevel="0" collapsed="false">
      <c r="A841" s="13" t="n">
        <f aca="false">'Match Results'!A211</f>
        <v>45953</v>
      </c>
      <c r="B841" s="13" t="n">
        <f aca="false">'Match Results'!B841</f>
        <v>0</v>
      </c>
      <c r="C841" s="13" t="n">
        <f aca="false">C837+1</f>
        <v>211</v>
      </c>
      <c r="D841" s="13" t="n">
        <f aca="false">'Match Results'!H211</f>
        <v>0</v>
      </c>
      <c r="E841" s="13" t="str">
        <f aca="false">IF('Match Results'!F528&gt;'Match Results'!E528,"Win",IF('Match Results'!E527='Match Results'!F527,"Draw","Loss"))</f>
        <v>Draw</v>
      </c>
      <c r="F841" s="13" t="n">
        <f aca="false">IF(E841="Win",3,IF(E841="Draw",2,1))</f>
        <v>2</v>
      </c>
    </row>
    <row r="842" customFormat="false" ht="14.25" hidden="false" customHeight="false" outlineLevel="0" collapsed="false">
      <c r="A842" s="13" t="n">
        <f aca="false">'Match Results'!A212</f>
        <v>45960</v>
      </c>
      <c r="B842" s="13" t="n">
        <f aca="false">'Match Results'!B842</f>
        <v>0</v>
      </c>
      <c r="C842" s="13" t="n">
        <f aca="false">C838+1</f>
        <v>212</v>
      </c>
      <c r="D842" s="13" t="n">
        <f aca="false">'Match Results'!C212</f>
        <v>0</v>
      </c>
      <c r="E842" s="13" t="str">
        <f aca="false">IF('Match Results'!F529&gt;'Match Results'!E529,"Win",IF('Match Results'!E528='Match Results'!F528,"Draw","Loss"))</f>
        <v>Draw</v>
      </c>
      <c r="F842" s="13" t="n">
        <f aca="false">IF(E842="Win",3,IF(E842="Draw",2,1))</f>
        <v>2</v>
      </c>
    </row>
    <row r="843" customFormat="false" ht="14.25" hidden="false" customHeight="false" outlineLevel="0" collapsed="false">
      <c r="A843" s="13" t="n">
        <f aca="false">'Match Results'!A212</f>
        <v>45960</v>
      </c>
      <c r="B843" s="13" t="n">
        <f aca="false">'Match Results'!B843</f>
        <v>0</v>
      </c>
      <c r="C843" s="13" t="n">
        <f aca="false">C839+1</f>
        <v>212</v>
      </c>
      <c r="D843" s="13" t="n">
        <f aca="false">'Match Results'!D212</f>
        <v>0</v>
      </c>
      <c r="E843" s="13" t="str">
        <f aca="false">IF('Match Results'!F530&gt;'Match Results'!E530,"Win",IF('Match Results'!E529='Match Results'!F529,"Draw","Loss"))</f>
        <v>Draw</v>
      </c>
      <c r="F843" s="13" t="n">
        <f aca="false">IF(E843="Win",3,IF(E843="Draw",2,1))</f>
        <v>2</v>
      </c>
    </row>
    <row r="844" customFormat="false" ht="14.25" hidden="false" customHeight="false" outlineLevel="0" collapsed="false">
      <c r="A844" s="13" t="n">
        <f aca="false">'Match Results'!A212</f>
        <v>45960</v>
      </c>
      <c r="B844" s="13" t="n">
        <f aca="false">'Match Results'!B844</f>
        <v>0</v>
      </c>
      <c r="C844" s="13" t="n">
        <f aca="false">C840+1</f>
        <v>212</v>
      </c>
      <c r="D844" s="13" t="n">
        <f aca="false">'Match Results'!G212</f>
        <v>0</v>
      </c>
      <c r="E844" s="13" t="str">
        <f aca="false">IF('Match Results'!F531&gt;'Match Results'!E531,"Win",IF('Match Results'!E530='Match Results'!F530,"Draw","Loss"))</f>
        <v>Draw</v>
      </c>
      <c r="F844" s="13" t="n">
        <f aca="false">IF(E844="Win",3,IF(E844="Draw",2,1))</f>
        <v>2</v>
      </c>
    </row>
    <row r="845" customFormat="false" ht="14.25" hidden="false" customHeight="false" outlineLevel="0" collapsed="false">
      <c r="A845" s="13" t="n">
        <f aca="false">'Match Results'!A212</f>
        <v>45960</v>
      </c>
      <c r="B845" s="13" t="n">
        <f aca="false">'Match Results'!B845</f>
        <v>0</v>
      </c>
      <c r="C845" s="13" t="n">
        <f aca="false">C841+1</f>
        <v>212</v>
      </c>
      <c r="D845" s="13" t="n">
        <f aca="false">'Match Results'!H212</f>
        <v>0</v>
      </c>
      <c r="E845" s="13" t="str">
        <f aca="false">IF('Match Results'!F532&gt;'Match Results'!E532,"Win",IF('Match Results'!E531='Match Results'!F531,"Draw","Loss"))</f>
        <v>Draw</v>
      </c>
      <c r="F845" s="13" t="n">
        <f aca="false">IF(E845="Win",3,IF(E845="Draw",2,1))</f>
        <v>2</v>
      </c>
    </row>
    <row r="846" customFormat="false" ht="14.25" hidden="false" customHeight="false" outlineLevel="0" collapsed="false">
      <c r="A846" s="13" t="n">
        <f aca="false">'Match Results'!A213</f>
        <v>45960</v>
      </c>
      <c r="B846" s="13" t="n">
        <f aca="false">'Match Results'!B846</f>
        <v>0</v>
      </c>
      <c r="C846" s="13" t="n">
        <f aca="false">C842+1</f>
        <v>213</v>
      </c>
      <c r="D846" s="13" t="n">
        <f aca="false">'Match Results'!C213</f>
        <v>0</v>
      </c>
      <c r="E846" s="13" t="str">
        <f aca="false">IF('Match Results'!F533&gt;'Match Results'!E533,"Win",IF('Match Results'!E532='Match Results'!F532,"Draw","Loss"))</f>
        <v>Draw</v>
      </c>
      <c r="F846" s="13" t="n">
        <f aca="false">IF(E846="Win",3,IF(E846="Draw",2,1))</f>
        <v>2</v>
      </c>
    </row>
    <row r="847" customFormat="false" ht="14.25" hidden="false" customHeight="false" outlineLevel="0" collapsed="false">
      <c r="A847" s="13" t="n">
        <f aca="false">'Match Results'!A213</f>
        <v>45960</v>
      </c>
      <c r="B847" s="13" t="n">
        <f aca="false">'Match Results'!B847</f>
        <v>0</v>
      </c>
      <c r="C847" s="13" t="n">
        <f aca="false">C843+1</f>
        <v>213</v>
      </c>
      <c r="D847" s="13" t="n">
        <f aca="false">'Match Results'!D213</f>
        <v>0</v>
      </c>
      <c r="E847" s="13" t="str">
        <f aca="false">IF('Match Results'!F534&gt;'Match Results'!E534,"Win",IF('Match Results'!E533='Match Results'!F533,"Draw","Loss"))</f>
        <v>Draw</v>
      </c>
      <c r="F847" s="13" t="n">
        <f aca="false">IF(E847="Win",3,IF(E847="Draw",2,1))</f>
        <v>2</v>
      </c>
    </row>
    <row r="848" customFormat="false" ht="14.25" hidden="false" customHeight="false" outlineLevel="0" collapsed="false">
      <c r="A848" s="13" t="n">
        <f aca="false">'Match Results'!A213</f>
        <v>45960</v>
      </c>
      <c r="B848" s="13" t="n">
        <f aca="false">'Match Results'!B848</f>
        <v>0</v>
      </c>
      <c r="C848" s="13" t="n">
        <f aca="false">C844+1</f>
        <v>213</v>
      </c>
      <c r="D848" s="13" t="n">
        <f aca="false">'Match Results'!G213</f>
        <v>0</v>
      </c>
      <c r="E848" s="13" t="str">
        <f aca="false">IF('Match Results'!F535&gt;'Match Results'!E535,"Win",IF('Match Results'!E534='Match Results'!F534,"Draw","Loss"))</f>
        <v>Draw</v>
      </c>
      <c r="F848" s="13" t="n">
        <f aca="false">IF(E848="Win",3,IF(E848="Draw",2,1))</f>
        <v>2</v>
      </c>
    </row>
    <row r="849" customFormat="false" ht="14.25" hidden="false" customHeight="false" outlineLevel="0" collapsed="false">
      <c r="A849" s="13" t="n">
        <f aca="false">'Match Results'!A213</f>
        <v>45960</v>
      </c>
      <c r="B849" s="13" t="n">
        <f aca="false">'Match Results'!B849</f>
        <v>0</v>
      </c>
      <c r="C849" s="13" t="n">
        <f aca="false">C845+1</f>
        <v>213</v>
      </c>
      <c r="D849" s="13" t="n">
        <f aca="false">'Match Results'!H213</f>
        <v>0</v>
      </c>
      <c r="E849" s="13" t="str">
        <f aca="false">IF('Match Results'!F536&gt;'Match Results'!E536,"Win",IF('Match Results'!E535='Match Results'!F535,"Draw","Loss"))</f>
        <v>Draw</v>
      </c>
      <c r="F849" s="13" t="n">
        <f aca="false">IF(E849="Win",3,IF(E849="Draw",2,1))</f>
        <v>2</v>
      </c>
    </row>
    <row r="850" customFormat="false" ht="14.25" hidden="false" customHeight="false" outlineLevel="0" collapsed="false">
      <c r="A850" s="13" t="n">
        <f aca="false">'Match Results'!A214</f>
        <v>45974</v>
      </c>
      <c r="B850" s="13" t="n">
        <f aca="false">'Match Results'!B850</f>
        <v>0</v>
      </c>
      <c r="C850" s="13" t="n">
        <f aca="false">C846+1</f>
        <v>214</v>
      </c>
      <c r="D850" s="13" t="n">
        <f aca="false">'Match Results'!C214</f>
        <v>0</v>
      </c>
      <c r="E850" s="13" t="str">
        <f aca="false">IF('Match Results'!F537&gt;'Match Results'!E537,"Win",IF('Match Results'!E536='Match Results'!F536,"Draw","Loss"))</f>
        <v>Draw</v>
      </c>
      <c r="F850" s="13" t="n">
        <f aca="false">IF(E850="Win",3,IF(E850="Draw",2,1))</f>
        <v>2</v>
      </c>
    </row>
    <row r="851" customFormat="false" ht="14.25" hidden="false" customHeight="false" outlineLevel="0" collapsed="false">
      <c r="A851" s="13" t="n">
        <f aca="false">'Match Results'!A214</f>
        <v>45974</v>
      </c>
      <c r="B851" s="13" t="n">
        <f aca="false">'Match Results'!B851</f>
        <v>0</v>
      </c>
      <c r="C851" s="13" t="n">
        <f aca="false">C847+1</f>
        <v>214</v>
      </c>
      <c r="D851" s="13" t="n">
        <f aca="false">'Match Results'!D214</f>
        <v>0</v>
      </c>
      <c r="E851" s="13" t="str">
        <f aca="false">IF('Match Results'!F538&gt;'Match Results'!E538,"Win",IF('Match Results'!E537='Match Results'!F537,"Draw","Loss"))</f>
        <v>Draw</v>
      </c>
      <c r="F851" s="13" t="n">
        <f aca="false">IF(E851="Win",3,IF(E851="Draw",2,1))</f>
        <v>2</v>
      </c>
    </row>
    <row r="852" customFormat="false" ht="14.25" hidden="false" customHeight="false" outlineLevel="0" collapsed="false">
      <c r="A852" s="13" t="n">
        <f aca="false">'Match Results'!A214</f>
        <v>45974</v>
      </c>
      <c r="B852" s="13" t="n">
        <f aca="false">'Match Results'!B852</f>
        <v>0</v>
      </c>
      <c r="C852" s="13" t="n">
        <f aca="false">C848+1</f>
        <v>214</v>
      </c>
      <c r="D852" s="13" t="n">
        <f aca="false">'Match Results'!G214</f>
        <v>0</v>
      </c>
      <c r="E852" s="13" t="str">
        <f aca="false">IF('Match Results'!F539&gt;'Match Results'!E539,"Win",IF('Match Results'!E538='Match Results'!F538,"Draw","Loss"))</f>
        <v>Draw</v>
      </c>
      <c r="F852" s="13" t="n">
        <f aca="false">IF(E852="Win",3,IF(E852="Draw",2,1))</f>
        <v>2</v>
      </c>
    </row>
    <row r="853" customFormat="false" ht="14.25" hidden="false" customHeight="false" outlineLevel="0" collapsed="false">
      <c r="A853" s="13" t="n">
        <f aca="false">'Match Results'!A214</f>
        <v>45974</v>
      </c>
      <c r="B853" s="13" t="n">
        <f aca="false">'Match Results'!B853</f>
        <v>0</v>
      </c>
      <c r="C853" s="13" t="n">
        <f aca="false">C849+1</f>
        <v>214</v>
      </c>
      <c r="D853" s="13" t="n">
        <f aca="false">'Match Results'!H214</f>
        <v>0</v>
      </c>
      <c r="E853" s="13" t="str">
        <f aca="false">IF('Match Results'!F540&gt;'Match Results'!E540,"Win",IF('Match Results'!E539='Match Results'!F539,"Draw","Loss"))</f>
        <v>Draw</v>
      </c>
      <c r="F853" s="13" t="n">
        <f aca="false">IF(E853="Win",3,IF(E853="Draw",2,1))</f>
        <v>2</v>
      </c>
    </row>
    <row r="854" customFormat="false" ht="14.25" hidden="false" customHeight="false" outlineLevel="0" collapsed="false">
      <c r="A854" s="13" t="n">
        <f aca="false">'Match Results'!A215</f>
        <v>45974</v>
      </c>
      <c r="B854" s="13" t="n">
        <f aca="false">'Match Results'!B854</f>
        <v>0</v>
      </c>
      <c r="C854" s="13" t="n">
        <f aca="false">C850+1</f>
        <v>215</v>
      </c>
      <c r="D854" s="13" t="n">
        <f aca="false">'Match Results'!C215</f>
        <v>0</v>
      </c>
      <c r="E854" s="13" t="str">
        <f aca="false">IF('Match Results'!F541&gt;'Match Results'!E541,"Win",IF('Match Results'!E540='Match Results'!F540,"Draw","Loss"))</f>
        <v>Draw</v>
      </c>
      <c r="F854" s="13" t="n">
        <f aca="false">IF(E854="Win",3,IF(E854="Draw",2,1))</f>
        <v>2</v>
      </c>
    </row>
    <row r="855" customFormat="false" ht="14.25" hidden="false" customHeight="false" outlineLevel="0" collapsed="false">
      <c r="A855" s="13" t="n">
        <f aca="false">'Match Results'!A215</f>
        <v>45974</v>
      </c>
      <c r="B855" s="13" t="n">
        <f aca="false">'Match Results'!B855</f>
        <v>0</v>
      </c>
      <c r="C855" s="13" t="n">
        <f aca="false">C851+1</f>
        <v>215</v>
      </c>
      <c r="D855" s="13" t="n">
        <f aca="false">'Match Results'!D215</f>
        <v>0</v>
      </c>
      <c r="E855" s="13" t="str">
        <f aca="false">IF('Match Results'!F542&gt;'Match Results'!E542,"Win",IF('Match Results'!E541='Match Results'!F541,"Draw","Loss"))</f>
        <v>Draw</v>
      </c>
      <c r="F855" s="13" t="n">
        <f aca="false">IF(E855="Win",3,IF(E855="Draw",2,1))</f>
        <v>2</v>
      </c>
    </row>
    <row r="856" customFormat="false" ht="14.25" hidden="false" customHeight="false" outlineLevel="0" collapsed="false">
      <c r="A856" s="13" t="n">
        <f aca="false">'Match Results'!A215</f>
        <v>45974</v>
      </c>
      <c r="B856" s="13" t="n">
        <f aca="false">'Match Results'!B856</f>
        <v>0</v>
      </c>
      <c r="C856" s="13" t="n">
        <f aca="false">C852+1</f>
        <v>215</v>
      </c>
      <c r="D856" s="13" t="n">
        <f aca="false">'Match Results'!G215</f>
        <v>0</v>
      </c>
      <c r="E856" s="13" t="str">
        <f aca="false">IF('Match Results'!F543&gt;'Match Results'!E543,"Win",IF('Match Results'!E542='Match Results'!F542,"Draw","Loss"))</f>
        <v>Draw</v>
      </c>
      <c r="F856" s="13" t="n">
        <f aca="false">IF(E856="Win",3,IF(E856="Draw",2,1))</f>
        <v>2</v>
      </c>
    </row>
    <row r="857" customFormat="false" ht="14.25" hidden="false" customHeight="false" outlineLevel="0" collapsed="false">
      <c r="A857" s="13" t="n">
        <f aca="false">'Match Results'!A215</f>
        <v>45974</v>
      </c>
      <c r="B857" s="13" t="n">
        <f aca="false">'Match Results'!B857</f>
        <v>0</v>
      </c>
      <c r="C857" s="13" t="n">
        <f aca="false">C853+1</f>
        <v>215</v>
      </c>
      <c r="D857" s="13" t="n">
        <f aca="false">'Match Results'!H215</f>
        <v>0</v>
      </c>
      <c r="E857" s="13" t="str">
        <f aca="false">IF('Match Results'!F544&gt;'Match Results'!E544,"Win",IF('Match Results'!E543='Match Results'!F543,"Draw","Loss"))</f>
        <v>Draw</v>
      </c>
      <c r="F857" s="13" t="n">
        <f aca="false">IF(E857="Win",3,IF(E857="Draw",2,1))</f>
        <v>2</v>
      </c>
    </row>
    <row r="858" customFormat="false" ht="14.25" hidden="false" customHeight="false" outlineLevel="0" collapsed="false">
      <c r="A858" s="13" t="n">
        <f aca="false">'Match Results'!A216</f>
        <v>45974</v>
      </c>
      <c r="B858" s="13" t="n">
        <f aca="false">'Match Results'!B858</f>
        <v>0</v>
      </c>
      <c r="C858" s="13" t="n">
        <f aca="false">C854+1</f>
        <v>216</v>
      </c>
      <c r="D858" s="13" t="n">
        <f aca="false">'Match Results'!C216</f>
        <v>0</v>
      </c>
      <c r="E858" s="13" t="str">
        <f aca="false">IF('Match Results'!F545&gt;'Match Results'!E545,"Win",IF('Match Results'!E544='Match Results'!F544,"Draw","Loss"))</f>
        <v>Draw</v>
      </c>
      <c r="F858" s="13" t="n">
        <f aca="false">IF(E858="Win",3,IF(E858="Draw",2,1))</f>
        <v>2</v>
      </c>
    </row>
    <row r="859" customFormat="false" ht="14.25" hidden="false" customHeight="false" outlineLevel="0" collapsed="false">
      <c r="A859" s="13" t="n">
        <f aca="false">'Match Results'!A216</f>
        <v>45974</v>
      </c>
      <c r="B859" s="13" t="n">
        <f aca="false">'Match Results'!B859</f>
        <v>0</v>
      </c>
      <c r="C859" s="13" t="n">
        <f aca="false">C855+1</f>
        <v>216</v>
      </c>
      <c r="D859" s="13" t="n">
        <f aca="false">'Match Results'!D216</f>
        <v>0</v>
      </c>
      <c r="E859" s="13" t="str">
        <f aca="false">IF('Match Results'!F546&gt;'Match Results'!E546,"Win",IF('Match Results'!E545='Match Results'!F545,"Draw","Loss"))</f>
        <v>Draw</v>
      </c>
      <c r="F859" s="13" t="n">
        <f aca="false">IF(E859="Win",3,IF(E859="Draw",2,1))</f>
        <v>2</v>
      </c>
    </row>
    <row r="860" customFormat="false" ht="14.25" hidden="false" customHeight="false" outlineLevel="0" collapsed="false">
      <c r="A860" s="13" t="n">
        <f aca="false">'Match Results'!A216</f>
        <v>45974</v>
      </c>
      <c r="B860" s="13" t="n">
        <f aca="false">'Match Results'!B860</f>
        <v>0</v>
      </c>
      <c r="C860" s="13" t="n">
        <f aca="false">C856+1</f>
        <v>216</v>
      </c>
      <c r="D860" s="13" t="n">
        <f aca="false">'Match Results'!G216</f>
        <v>0</v>
      </c>
      <c r="E860" s="13" t="str">
        <f aca="false">IF('Match Results'!F547&gt;'Match Results'!E547,"Win",IF('Match Results'!E546='Match Results'!F546,"Draw","Loss"))</f>
        <v>Draw</v>
      </c>
      <c r="F860" s="13" t="n">
        <f aca="false">IF(E860="Win",3,IF(E860="Draw",2,1))</f>
        <v>2</v>
      </c>
    </row>
    <row r="861" customFormat="false" ht="14.25" hidden="false" customHeight="false" outlineLevel="0" collapsed="false">
      <c r="A861" s="13" t="n">
        <f aca="false">'Match Results'!A216</f>
        <v>45974</v>
      </c>
      <c r="B861" s="13" t="n">
        <f aca="false">'Match Results'!B861</f>
        <v>0</v>
      </c>
      <c r="C861" s="13" t="n">
        <f aca="false">C857+1</f>
        <v>216</v>
      </c>
      <c r="D861" s="13" t="n">
        <f aca="false">'Match Results'!H216</f>
        <v>0</v>
      </c>
      <c r="E861" s="13" t="str">
        <f aca="false">IF('Match Results'!F548&gt;'Match Results'!E548,"Win",IF('Match Results'!E547='Match Results'!F547,"Draw","Loss"))</f>
        <v>Draw</v>
      </c>
      <c r="F861" s="13" t="n">
        <f aca="false">IF(E861="Win",3,IF(E861="Draw",2,1))</f>
        <v>2</v>
      </c>
    </row>
    <row r="862" customFormat="false" ht="14.25" hidden="false" customHeight="false" outlineLevel="0" collapsed="false">
      <c r="A862" s="13" t="n">
        <f aca="false">'Match Results'!A217</f>
        <v>45974</v>
      </c>
      <c r="B862" s="13" t="n">
        <f aca="false">'Match Results'!B862</f>
        <v>0</v>
      </c>
      <c r="C862" s="13" t="n">
        <f aca="false">C858+1</f>
        <v>217</v>
      </c>
      <c r="D862" s="13" t="n">
        <f aca="false">'Match Results'!C217</f>
        <v>0</v>
      </c>
      <c r="E862" s="13" t="str">
        <f aca="false">IF('Match Results'!F549&gt;'Match Results'!E549,"Win",IF('Match Results'!E548='Match Results'!F548,"Draw","Loss"))</f>
        <v>Draw</v>
      </c>
      <c r="F862" s="13" t="n">
        <f aca="false">IF(E862="Win",3,IF(E862="Draw",2,1))</f>
        <v>2</v>
      </c>
    </row>
    <row r="863" customFormat="false" ht="14.25" hidden="false" customHeight="false" outlineLevel="0" collapsed="false">
      <c r="A863" s="13" t="n">
        <f aca="false">'Match Results'!A217</f>
        <v>45974</v>
      </c>
      <c r="B863" s="13" t="n">
        <f aca="false">'Match Results'!B863</f>
        <v>0</v>
      </c>
      <c r="C863" s="13" t="n">
        <f aca="false">C859+1</f>
        <v>217</v>
      </c>
      <c r="D863" s="13" t="n">
        <f aca="false">'Match Results'!D217</f>
        <v>0</v>
      </c>
      <c r="E863" s="13" t="str">
        <f aca="false">IF('Match Results'!F550&gt;'Match Results'!E550,"Win",IF('Match Results'!E549='Match Results'!F549,"Draw","Loss"))</f>
        <v>Draw</v>
      </c>
      <c r="F863" s="13" t="n">
        <f aca="false">IF(E863="Win",3,IF(E863="Draw",2,1))</f>
        <v>2</v>
      </c>
    </row>
    <row r="864" customFormat="false" ht="14.25" hidden="false" customHeight="false" outlineLevel="0" collapsed="false">
      <c r="A864" s="13" t="n">
        <f aca="false">'Match Results'!A217</f>
        <v>45974</v>
      </c>
      <c r="B864" s="13" t="n">
        <f aca="false">'Match Results'!B864</f>
        <v>0</v>
      </c>
      <c r="C864" s="13" t="n">
        <f aca="false">C860+1</f>
        <v>217</v>
      </c>
      <c r="D864" s="13" t="n">
        <f aca="false">'Match Results'!G217</f>
        <v>0</v>
      </c>
      <c r="E864" s="13" t="str">
        <f aca="false">IF('Match Results'!F551&gt;'Match Results'!E551,"Win",IF('Match Results'!E550='Match Results'!F550,"Draw","Loss"))</f>
        <v>Draw</v>
      </c>
      <c r="F864" s="13" t="n">
        <f aca="false">IF(E864="Win",3,IF(E864="Draw",2,1))</f>
        <v>2</v>
      </c>
    </row>
    <row r="865" customFormat="false" ht="14.25" hidden="false" customHeight="false" outlineLevel="0" collapsed="false">
      <c r="A865" s="13" t="n">
        <f aca="false">'Match Results'!A217</f>
        <v>45974</v>
      </c>
      <c r="B865" s="13" t="n">
        <f aca="false">'Match Results'!B865</f>
        <v>0</v>
      </c>
      <c r="C865" s="13" t="n">
        <f aca="false">C861+1</f>
        <v>217</v>
      </c>
      <c r="D865" s="13" t="n">
        <f aca="false">'Match Results'!H217</f>
        <v>0</v>
      </c>
      <c r="E865" s="13" t="str">
        <f aca="false">IF('Match Results'!F552&gt;'Match Results'!E552,"Win",IF('Match Results'!E551='Match Results'!F551,"Draw","Loss"))</f>
        <v>Draw</v>
      </c>
      <c r="F865" s="13" t="n">
        <f aca="false">IF(E865="Win",3,IF(E865="Draw",2,1))</f>
        <v>2</v>
      </c>
    </row>
    <row r="866" customFormat="false" ht="14.25" hidden="false" customHeight="false" outlineLevel="0" collapsed="false">
      <c r="A866" s="0" t="n">
        <f aca="false">'Match Results'!A218</f>
        <v>45974</v>
      </c>
      <c r="B866" s="26" t="n">
        <f aca="false">'Match Results'!B866</f>
        <v>0</v>
      </c>
      <c r="C866" s="13" t="n">
        <f aca="false">C862+1</f>
        <v>218</v>
      </c>
      <c r="D866" s="0" t="n">
        <f aca="false">'Match Results'!C218</f>
        <v>0</v>
      </c>
      <c r="E866" s="13" t="str">
        <f aca="false">IF('Match Results'!F553&gt;'Match Results'!E553,"Win",IF('Match Results'!E552='Match Results'!F552,"Draw","Loss"))</f>
        <v>Draw</v>
      </c>
      <c r="F866" s="0" t="n">
        <f aca="false">IF(E866="Win",3,IF(E866="Draw",2,1))</f>
        <v>2</v>
      </c>
    </row>
    <row r="867" customFormat="false" ht="14.25" hidden="false" customHeight="false" outlineLevel="0" collapsed="false">
      <c r="A867" s="0" t="n">
        <f aca="false">'Match Results'!A218</f>
        <v>45974</v>
      </c>
      <c r="B867" s="27" t="n">
        <f aca="false">'Match Results'!B867</f>
        <v>0</v>
      </c>
      <c r="C867" s="13" t="n">
        <f aca="false">C863+1</f>
        <v>218</v>
      </c>
      <c r="D867" s="0" t="n">
        <f aca="false">'Match Results'!D218</f>
        <v>0</v>
      </c>
      <c r="E867" s="13" t="str">
        <f aca="false">IF('Match Results'!F554&gt;'Match Results'!E554,"Win",IF('Match Results'!E553='Match Results'!F553,"Draw","Loss"))</f>
        <v>Draw</v>
      </c>
      <c r="F867" s="0" t="n">
        <f aca="false">IF(E867="Win",3,IF(E867="Draw",2,1))</f>
        <v>2</v>
      </c>
    </row>
    <row r="868" customFormat="false" ht="14.25" hidden="false" customHeight="false" outlineLevel="0" collapsed="false">
      <c r="A868" s="0" t="n">
        <f aca="false">'Match Results'!A218</f>
        <v>45974</v>
      </c>
      <c r="B868" s="27" t="n">
        <f aca="false">'Match Results'!B868</f>
        <v>0</v>
      </c>
      <c r="C868" s="13" t="n">
        <f aca="false">C864+1</f>
        <v>218</v>
      </c>
      <c r="D868" s="0" t="n">
        <f aca="false">'Match Results'!G218</f>
        <v>0</v>
      </c>
      <c r="E868" s="13" t="str">
        <f aca="false">IF('Match Results'!F555&gt;'Match Results'!E555,"Win",IF('Match Results'!E554='Match Results'!F554,"Draw","Loss"))</f>
        <v>Draw</v>
      </c>
      <c r="F868" s="0" t="n">
        <f aca="false">IF(E868="Win",3,IF(E868="Draw",2,1))</f>
        <v>2</v>
      </c>
    </row>
    <row r="869" customFormat="false" ht="14.25" hidden="false" customHeight="false" outlineLevel="0" collapsed="false">
      <c r="A869" s="0" t="n">
        <f aca="false">'Match Results'!A218</f>
        <v>45974</v>
      </c>
      <c r="B869" s="27" t="n">
        <f aca="false">'Match Results'!B869</f>
        <v>0</v>
      </c>
      <c r="C869" s="13" t="n">
        <f aca="false">C865+1</f>
        <v>218</v>
      </c>
      <c r="D869" s="0" t="n">
        <f aca="false">'Match Results'!H218</f>
        <v>0</v>
      </c>
      <c r="E869" s="13" t="str">
        <f aca="false">IF('Match Results'!F556&gt;'Match Results'!E556,"Win",IF('Match Results'!E555='Match Results'!F555,"Draw","Loss"))</f>
        <v>Draw</v>
      </c>
      <c r="F869" s="0" t="n">
        <f aca="false">IF(E869="Win",3,IF(E869="Draw",2,1))</f>
        <v>2</v>
      </c>
    </row>
    <row r="870" customFormat="false" ht="14.25" hidden="false" customHeight="false" outlineLevel="0" collapsed="false">
      <c r="A870" s="0" t="n">
        <f aca="false">'Match Results'!A219</f>
        <v>45974</v>
      </c>
      <c r="B870" s="27" t="n">
        <f aca="false">'Match Results'!B870</f>
        <v>0</v>
      </c>
      <c r="C870" s="13" t="n">
        <f aca="false">C866+1</f>
        <v>219</v>
      </c>
      <c r="D870" s="0" t="n">
        <f aca="false">'Match Results'!C219</f>
        <v>0</v>
      </c>
      <c r="E870" s="13" t="str">
        <f aca="false">IF('Match Results'!F557&gt;'Match Results'!E557,"Win",IF('Match Results'!E556='Match Results'!F556,"Draw","Loss"))</f>
        <v>Draw</v>
      </c>
      <c r="F870" s="0" t="n">
        <f aca="false">IF(E870="Win",3,IF(E870="Draw",2,1))</f>
        <v>2</v>
      </c>
    </row>
    <row r="871" customFormat="false" ht="14.25" hidden="false" customHeight="false" outlineLevel="0" collapsed="false">
      <c r="A871" s="0" t="n">
        <f aca="false">'Match Results'!A219</f>
        <v>45974</v>
      </c>
      <c r="B871" s="27" t="n">
        <f aca="false">'Match Results'!B871</f>
        <v>0</v>
      </c>
      <c r="C871" s="13" t="n">
        <f aca="false">C867+1</f>
        <v>219</v>
      </c>
      <c r="D871" s="0" t="n">
        <f aca="false">'Match Results'!D219</f>
        <v>0</v>
      </c>
      <c r="E871" s="13" t="str">
        <f aca="false">IF('Match Results'!F558&gt;'Match Results'!E558,"Win",IF('Match Results'!E557='Match Results'!F557,"Draw","Loss"))</f>
        <v>Draw</v>
      </c>
      <c r="F871" s="0" t="n">
        <f aca="false">IF(E871="Win",3,IF(E871="Draw",2,1))</f>
        <v>2</v>
      </c>
    </row>
    <row r="872" customFormat="false" ht="14.25" hidden="false" customHeight="false" outlineLevel="0" collapsed="false">
      <c r="A872" s="0" t="n">
        <f aca="false">'Match Results'!A219</f>
        <v>45974</v>
      </c>
      <c r="B872" s="27" t="n">
        <f aca="false">'Match Results'!B872</f>
        <v>0</v>
      </c>
      <c r="C872" s="13" t="n">
        <f aca="false">C868+1</f>
        <v>219</v>
      </c>
      <c r="D872" s="0" t="n">
        <f aca="false">'Match Results'!G219</f>
        <v>0</v>
      </c>
      <c r="E872" s="13" t="str">
        <f aca="false">IF('Match Results'!F559&gt;'Match Results'!E559,"Win",IF('Match Results'!E558='Match Results'!F558,"Draw","Loss"))</f>
        <v>Draw</v>
      </c>
      <c r="F872" s="0" t="n">
        <f aca="false">IF(E872="Win",3,IF(E872="Draw",2,1))</f>
        <v>2</v>
      </c>
    </row>
    <row r="873" customFormat="false" ht="14.25" hidden="false" customHeight="false" outlineLevel="0" collapsed="false">
      <c r="A873" s="0" t="n">
        <f aca="false">'Match Results'!A219</f>
        <v>45974</v>
      </c>
      <c r="B873" s="27" t="n">
        <f aca="false">'Match Results'!B873</f>
        <v>0</v>
      </c>
      <c r="C873" s="13" t="n">
        <f aca="false">C869+1</f>
        <v>219</v>
      </c>
      <c r="D873" s="0" t="n">
        <f aca="false">'Match Results'!H219</f>
        <v>0</v>
      </c>
      <c r="E873" s="13" t="str">
        <f aca="false">IF('Match Results'!F560&gt;'Match Results'!E560,"Win",IF('Match Results'!E559='Match Results'!F559,"Draw","Loss"))</f>
        <v>Draw</v>
      </c>
      <c r="F873" s="0" t="n">
        <f aca="false">IF(E873="Win",3,IF(E873="Draw",2,1))</f>
        <v>2</v>
      </c>
    </row>
    <row r="874" customFormat="false" ht="14.25" hidden="false" customHeight="false" outlineLevel="0" collapsed="false">
      <c r="A874" s="0" t="n">
        <f aca="false">'Match Results'!A220</f>
        <v>45974</v>
      </c>
      <c r="B874" s="27" t="n">
        <f aca="false">'Match Results'!B874</f>
        <v>0</v>
      </c>
      <c r="C874" s="13" t="n">
        <f aca="false">C870+1</f>
        <v>220</v>
      </c>
      <c r="D874" s="0" t="n">
        <f aca="false">'Match Results'!C220</f>
        <v>0</v>
      </c>
      <c r="E874" s="13" t="str">
        <f aca="false">IF('Match Results'!F561&gt;'Match Results'!E561,"Win",IF('Match Results'!E560='Match Results'!F560,"Draw","Loss"))</f>
        <v>Draw</v>
      </c>
      <c r="F874" s="0" t="n">
        <f aca="false">IF(E874="Win",3,IF(E874="Draw",2,1))</f>
        <v>2</v>
      </c>
    </row>
    <row r="875" customFormat="false" ht="14.25" hidden="false" customHeight="false" outlineLevel="0" collapsed="false">
      <c r="A875" s="0" t="n">
        <f aca="false">'Match Results'!A220</f>
        <v>45974</v>
      </c>
      <c r="B875" s="27" t="n">
        <f aca="false">'Match Results'!B875</f>
        <v>0</v>
      </c>
      <c r="C875" s="13" t="n">
        <f aca="false">C871+1</f>
        <v>220</v>
      </c>
      <c r="D875" s="0" t="n">
        <f aca="false">'Match Results'!D220</f>
        <v>0</v>
      </c>
      <c r="E875" s="13" t="str">
        <f aca="false">IF('Match Results'!F562&gt;'Match Results'!E562,"Win",IF('Match Results'!E561='Match Results'!F561,"Draw","Loss"))</f>
        <v>Draw</v>
      </c>
      <c r="F875" s="0" t="n">
        <f aca="false">IF(E875="Win",3,IF(E875="Draw",2,1))</f>
        <v>2</v>
      </c>
    </row>
    <row r="876" customFormat="false" ht="14.25" hidden="false" customHeight="false" outlineLevel="0" collapsed="false">
      <c r="A876" s="0" t="n">
        <f aca="false">'Match Results'!A220</f>
        <v>45974</v>
      </c>
      <c r="B876" s="27" t="n">
        <f aca="false">'Match Results'!B876</f>
        <v>0</v>
      </c>
      <c r="C876" s="13" t="n">
        <f aca="false">C872+1</f>
        <v>220</v>
      </c>
      <c r="D876" s="0" t="n">
        <f aca="false">'Match Results'!G220</f>
        <v>0</v>
      </c>
      <c r="E876" s="13" t="str">
        <f aca="false">IF('Match Results'!F563&gt;'Match Results'!E563,"Win",IF('Match Results'!E562='Match Results'!F562,"Draw","Loss"))</f>
        <v>Draw</v>
      </c>
      <c r="F876" s="0" t="n">
        <f aca="false">IF(E876="Win",3,IF(E876="Draw",2,1))</f>
        <v>2</v>
      </c>
    </row>
    <row r="877" customFormat="false" ht="14.25" hidden="false" customHeight="false" outlineLevel="0" collapsed="false">
      <c r="A877" s="0" t="n">
        <f aca="false">'Match Results'!A220</f>
        <v>45974</v>
      </c>
      <c r="B877" s="27" t="n">
        <f aca="false">'Match Results'!B877</f>
        <v>0</v>
      </c>
      <c r="C877" s="13" t="n">
        <f aca="false">C873+1</f>
        <v>220</v>
      </c>
      <c r="D877" s="0" t="n">
        <f aca="false">'Match Results'!H220</f>
        <v>0</v>
      </c>
      <c r="E877" s="13" t="str">
        <f aca="false">IF('Match Results'!F564&gt;'Match Results'!E564,"Win",IF('Match Results'!E563='Match Results'!F563,"Draw","Loss"))</f>
        <v>Draw</v>
      </c>
      <c r="F877" s="0" t="n">
        <f aca="false">IF(E877="Win",3,IF(E877="Draw",2,1))</f>
        <v>2</v>
      </c>
    </row>
    <row r="878" customFormat="false" ht="14.25" hidden="false" customHeight="false" outlineLevel="0" collapsed="false">
      <c r="A878" s="0" t="n">
        <f aca="false">'Match Results'!A221</f>
        <v>45974</v>
      </c>
      <c r="B878" s="27" t="n">
        <f aca="false">'Match Results'!B878</f>
        <v>0</v>
      </c>
      <c r="C878" s="13" t="n">
        <f aca="false">C874+1</f>
        <v>221</v>
      </c>
      <c r="D878" s="0" t="n">
        <f aca="false">'Match Results'!C221</f>
        <v>0</v>
      </c>
      <c r="E878" s="13" t="str">
        <f aca="false">IF('Match Results'!F565&gt;'Match Results'!E565,"Win",IF('Match Results'!E564='Match Results'!F564,"Draw","Loss"))</f>
        <v>Draw</v>
      </c>
      <c r="F878" s="0" t="n">
        <f aca="false">IF(E878="Win",3,IF(E878="Draw",2,1))</f>
        <v>2</v>
      </c>
    </row>
    <row r="879" customFormat="false" ht="14.25" hidden="false" customHeight="false" outlineLevel="0" collapsed="false">
      <c r="A879" s="0" t="n">
        <f aca="false">'Match Results'!A221</f>
        <v>45974</v>
      </c>
      <c r="B879" s="27" t="n">
        <f aca="false">'Match Results'!B879</f>
        <v>0</v>
      </c>
      <c r="C879" s="13" t="n">
        <f aca="false">C875+1</f>
        <v>221</v>
      </c>
      <c r="D879" s="0" t="n">
        <f aca="false">'Match Results'!D221</f>
        <v>0</v>
      </c>
      <c r="E879" s="13" t="str">
        <f aca="false">IF('Match Results'!F566&gt;'Match Results'!E566,"Win",IF('Match Results'!E565='Match Results'!F565,"Draw","Loss"))</f>
        <v>Draw</v>
      </c>
      <c r="F879" s="0" t="n">
        <f aca="false">IF(E879="Win",3,IF(E879="Draw",2,1))</f>
        <v>2</v>
      </c>
    </row>
    <row r="880" customFormat="false" ht="14.25" hidden="false" customHeight="false" outlineLevel="0" collapsed="false">
      <c r="A880" s="0" t="n">
        <f aca="false">'Match Results'!A221</f>
        <v>45974</v>
      </c>
      <c r="B880" s="27" t="n">
        <f aca="false">'Match Results'!B880</f>
        <v>0</v>
      </c>
      <c r="C880" s="13" t="n">
        <f aca="false">C876+1</f>
        <v>221</v>
      </c>
      <c r="D880" s="0" t="n">
        <f aca="false">'Match Results'!G221</f>
        <v>0</v>
      </c>
      <c r="E880" s="13" t="str">
        <f aca="false">IF('Match Results'!F567&gt;'Match Results'!E567,"Win",IF('Match Results'!E566='Match Results'!F566,"Draw","Loss"))</f>
        <v>Draw</v>
      </c>
      <c r="F880" s="0" t="n">
        <f aca="false">IF(E880="Win",3,IF(E880="Draw",2,1))</f>
        <v>2</v>
      </c>
    </row>
    <row r="881" customFormat="false" ht="14.25" hidden="false" customHeight="false" outlineLevel="0" collapsed="false">
      <c r="A881" s="0" t="n">
        <f aca="false">'Match Results'!A221</f>
        <v>45974</v>
      </c>
      <c r="B881" s="27" t="n">
        <f aca="false">'Match Results'!B881</f>
        <v>0</v>
      </c>
      <c r="C881" s="13" t="n">
        <f aca="false">C877+1</f>
        <v>221</v>
      </c>
      <c r="D881" s="0" t="n">
        <f aca="false">'Match Results'!H221</f>
        <v>0</v>
      </c>
      <c r="E881" s="13" t="str">
        <f aca="false">IF('Match Results'!F568&gt;'Match Results'!E568,"Win",IF('Match Results'!E567='Match Results'!F567,"Draw","Loss"))</f>
        <v>Draw</v>
      </c>
      <c r="F881" s="0" t="n">
        <f aca="false">IF(E881="Win",3,IF(E881="Draw",2,1))</f>
        <v>2</v>
      </c>
    </row>
    <row r="882" customFormat="false" ht="14.25" hidden="false" customHeight="false" outlineLevel="0" collapsed="false">
      <c r="A882" s="0" t="n">
        <f aca="false">'Match Results'!A222</f>
        <v>45967</v>
      </c>
      <c r="B882" s="27" t="n">
        <f aca="false">'Match Results'!B882</f>
        <v>0</v>
      </c>
      <c r="C882" s="13" t="n">
        <f aca="false">C878+1</f>
        <v>222</v>
      </c>
      <c r="D882" s="0" t="n">
        <f aca="false">'Match Results'!C222</f>
        <v>0</v>
      </c>
      <c r="E882" s="13" t="str">
        <f aca="false">IF('Match Results'!F569&gt;'Match Results'!E569,"Win",IF('Match Results'!E568='Match Results'!F568,"Draw","Loss"))</f>
        <v>Draw</v>
      </c>
      <c r="F882" s="0" t="n">
        <f aca="false">IF(E882="Win",3,IF(E882="Draw",2,1))</f>
        <v>2</v>
      </c>
    </row>
    <row r="883" customFormat="false" ht="14.25" hidden="false" customHeight="false" outlineLevel="0" collapsed="false">
      <c r="A883" s="0" t="n">
        <f aca="false">'Match Results'!A222</f>
        <v>45967</v>
      </c>
      <c r="B883" s="27" t="n">
        <f aca="false">'Match Results'!B883</f>
        <v>0</v>
      </c>
      <c r="C883" s="13" t="n">
        <f aca="false">C879+1</f>
        <v>222</v>
      </c>
      <c r="D883" s="0" t="n">
        <f aca="false">'Match Results'!D222</f>
        <v>0</v>
      </c>
      <c r="E883" s="13" t="str">
        <f aca="false">IF('Match Results'!F570&gt;'Match Results'!E570,"Win",IF('Match Results'!E569='Match Results'!F569,"Draw","Loss"))</f>
        <v>Draw</v>
      </c>
      <c r="F883" s="0" t="n">
        <f aca="false">IF(E883="Win",3,IF(E883="Draw",2,1))</f>
        <v>2</v>
      </c>
    </row>
    <row r="884" customFormat="false" ht="14.25" hidden="false" customHeight="false" outlineLevel="0" collapsed="false">
      <c r="A884" s="0" t="n">
        <f aca="false">'Match Results'!A222</f>
        <v>45967</v>
      </c>
      <c r="B884" s="27" t="n">
        <f aca="false">'Match Results'!B884</f>
        <v>0</v>
      </c>
      <c r="C884" s="13" t="n">
        <f aca="false">C880+1</f>
        <v>222</v>
      </c>
      <c r="D884" s="0" t="n">
        <f aca="false">'Match Results'!G222</f>
        <v>0</v>
      </c>
      <c r="E884" s="13" t="str">
        <f aca="false">IF('Match Results'!F571&gt;'Match Results'!E571,"Win",IF('Match Results'!E570='Match Results'!F570,"Draw","Loss"))</f>
        <v>Draw</v>
      </c>
      <c r="F884" s="0" t="n">
        <f aca="false">IF(E884="Win",3,IF(E884="Draw",2,1))</f>
        <v>2</v>
      </c>
    </row>
    <row r="885" customFormat="false" ht="14.25" hidden="false" customHeight="false" outlineLevel="0" collapsed="false">
      <c r="A885" s="0" t="n">
        <f aca="false">'Match Results'!A222</f>
        <v>45967</v>
      </c>
      <c r="B885" s="27" t="n">
        <f aca="false">'Match Results'!B885</f>
        <v>0</v>
      </c>
      <c r="C885" s="13" t="n">
        <f aca="false">C881+1</f>
        <v>222</v>
      </c>
      <c r="D885" s="0" t="n">
        <f aca="false">'Match Results'!H222</f>
        <v>0</v>
      </c>
      <c r="E885" s="13" t="str">
        <f aca="false">IF('Match Results'!F572&gt;'Match Results'!E572,"Win",IF('Match Results'!E571='Match Results'!F571,"Draw","Loss"))</f>
        <v>Draw</v>
      </c>
      <c r="F885" s="0" t="n">
        <f aca="false">IF(E885="Win",3,IF(E885="Draw",2,1))</f>
        <v>2</v>
      </c>
    </row>
    <row r="886" customFormat="false" ht="14.25" hidden="false" customHeight="false" outlineLevel="0" collapsed="false">
      <c r="A886" s="0" t="n">
        <f aca="false">'Match Results'!A223</f>
        <v>45960</v>
      </c>
      <c r="B886" s="27" t="n">
        <f aca="false">'Match Results'!B886</f>
        <v>0</v>
      </c>
      <c r="C886" s="13" t="n">
        <f aca="false">C882+1</f>
        <v>223</v>
      </c>
      <c r="D886" s="0" t="n">
        <f aca="false">'Match Results'!C223</f>
        <v>0</v>
      </c>
      <c r="E886" s="13" t="str">
        <f aca="false">IF('Match Results'!F573&gt;'Match Results'!E573,"Win",IF('Match Results'!E572='Match Results'!F572,"Draw","Loss"))</f>
        <v>Draw</v>
      </c>
      <c r="F886" s="0" t="n">
        <f aca="false">IF(E886="Win",3,IF(E886="Draw",2,1))</f>
        <v>2</v>
      </c>
    </row>
    <row r="887" customFormat="false" ht="14.25" hidden="false" customHeight="false" outlineLevel="0" collapsed="false">
      <c r="A887" s="0" t="n">
        <f aca="false">'Match Results'!A223</f>
        <v>45960</v>
      </c>
      <c r="B887" s="27" t="n">
        <f aca="false">'Match Results'!B887</f>
        <v>0</v>
      </c>
      <c r="C887" s="13" t="n">
        <f aca="false">C883+1</f>
        <v>223</v>
      </c>
      <c r="D887" s="0" t="n">
        <f aca="false">'Match Results'!D223</f>
        <v>0</v>
      </c>
      <c r="E887" s="13" t="str">
        <f aca="false">IF('Match Results'!F574&gt;'Match Results'!E574,"Win",IF('Match Results'!E573='Match Results'!F573,"Draw","Loss"))</f>
        <v>Draw</v>
      </c>
      <c r="F887" s="0" t="n">
        <f aca="false">IF(E887="Win",3,IF(E887="Draw",2,1))</f>
        <v>2</v>
      </c>
    </row>
    <row r="888" customFormat="false" ht="14.25" hidden="false" customHeight="false" outlineLevel="0" collapsed="false">
      <c r="A888" s="0" t="n">
        <f aca="false">'Match Results'!A223</f>
        <v>45960</v>
      </c>
      <c r="B888" s="27" t="n">
        <f aca="false">'Match Results'!B888</f>
        <v>0</v>
      </c>
      <c r="C888" s="13" t="n">
        <f aca="false">C884+1</f>
        <v>223</v>
      </c>
      <c r="D888" s="0" t="n">
        <f aca="false">'Match Results'!G223</f>
        <v>0</v>
      </c>
      <c r="E888" s="13" t="str">
        <f aca="false">IF('Match Results'!F575&gt;'Match Results'!E575,"Win",IF('Match Results'!E574='Match Results'!F574,"Draw","Loss"))</f>
        <v>Draw</v>
      </c>
      <c r="F888" s="0" t="n">
        <f aca="false">IF(E888="Win",3,IF(E888="Draw",2,1))</f>
        <v>2</v>
      </c>
    </row>
    <row r="889" customFormat="false" ht="14.25" hidden="false" customHeight="false" outlineLevel="0" collapsed="false">
      <c r="A889" s="0" t="n">
        <f aca="false">'Match Results'!A223</f>
        <v>45960</v>
      </c>
      <c r="B889" s="27" t="n">
        <f aca="false">'Match Results'!B889</f>
        <v>0</v>
      </c>
      <c r="C889" s="13" t="n">
        <f aca="false">C885+1</f>
        <v>223</v>
      </c>
      <c r="D889" s="0" t="n">
        <f aca="false">'Match Results'!H223</f>
        <v>0</v>
      </c>
      <c r="E889" s="13" t="str">
        <f aca="false">IF('Match Results'!F576&gt;'Match Results'!E576,"Win",IF('Match Results'!E575='Match Results'!F575,"Draw","Loss"))</f>
        <v>Draw</v>
      </c>
      <c r="F889" s="0" t="n">
        <f aca="false">IF(E889="Win",3,IF(E889="Draw",2,1))</f>
        <v>2</v>
      </c>
    </row>
    <row r="890" customFormat="false" ht="14.25" hidden="false" customHeight="false" outlineLevel="0" collapsed="false">
      <c r="A890" s="0" t="n">
        <f aca="false">'Match Results'!A224</f>
        <v>45960</v>
      </c>
      <c r="B890" s="27" t="n">
        <f aca="false">'Match Results'!B890</f>
        <v>0</v>
      </c>
      <c r="C890" s="13" t="n">
        <f aca="false">C886+1</f>
        <v>224</v>
      </c>
      <c r="D890" s="0" t="n">
        <f aca="false">'Match Results'!C224</f>
        <v>0</v>
      </c>
      <c r="E890" s="13" t="str">
        <f aca="false">IF('Match Results'!F577&gt;'Match Results'!E577,"Win",IF('Match Results'!E576='Match Results'!F576,"Draw","Loss"))</f>
        <v>Draw</v>
      </c>
      <c r="F890" s="0" t="n">
        <f aca="false">IF(E890="Win",3,IF(E890="Draw",2,1))</f>
        <v>2</v>
      </c>
    </row>
    <row r="891" customFormat="false" ht="14.25" hidden="false" customHeight="false" outlineLevel="0" collapsed="false">
      <c r="A891" s="0" t="n">
        <f aca="false">'Match Results'!A224</f>
        <v>45960</v>
      </c>
      <c r="B891" s="27" t="n">
        <f aca="false">'Match Results'!B891</f>
        <v>0</v>
      </c>
      <c r="C891" s="13" t="n">
        <f aca="false">C887+1</f>
        <v>224</v>
      </c>
      <c r="D891" s="0" t="n">
        <f aca="false">'Match Results'!D224</f>
        <v>0</v>
      </c>
      <c r="E891" s="13" t="str">
        <f aca="false">IF('Match Results'!F578&gt;'Match Results'!E578,"Win",IF('Match Results'!E577='Match Results'!F577,"Draw","Loss"))</f>
        <v>Draw</v>
      </c>
      <c r="F891" s="0" t="n">
        <f aca="false">IF(E891="Win",3,IF(E891="Draw",2,1))</f>
        <v>2</v>
      </c>
    </row>
    <row r="892" customFormat="false" ht="14.25" hidden="false" customHeight="false" outlineLevel="0" collapsed="false">
      <c r="A892" s="0" t="n">
        <f aca="false">'Match Results'!A224</f>
        <v>45960</v>
      </c>
      <c r="B892" s="27" t="n">
        <f aca="false">'Match Results'!B892</f>
        <v>0</v>
      </c>
      <c r="C892" s="13" t="n">
        <f aca="false">C888+1</f>
        <v>224</v>
      </c>
      <c r="D892" s="0" t="n">
        <f aca="false">'Match Results'!G224</f>
        <v>0</v>
      </c>
      <c r="E892" s="13" t="str">
        <f aca="false">IF('Match Results'!F579&gt;'Match Results'!E579,"Win",IF('Match Results'!E578='Match Results'!F578,"Draw","Loss"))</f>
        <v>Draw</v>
      </c>
      <c r="F892" s="0" t="n">
        <f aca="false">IF(E892="Win",3,IF(E892="Draw",2,1))</f>
        <v>2</v>
      </c>
    </row>
    <row r="893" customFormat="false" ht="14.25" hidden="false" customHeight="false" outlineLevel="0" collapsed="false">
      <c r="A893" s="0" t="n">
        <f aca="false">'Match Results'!A224</f>
        <v>45960</v>
      </c>
      <c r="B893" s="27" t="n">
        <f aca="false">'Match Results'!B893</f>
        <v>0</v>
      </c>
      <c r="C893" s="13" t="n">
        <f aca="false">C889+1</f>
        <v>224</v>
      </c>
      <c r="D893" s="0" t="n">
        <f aca="false">'Match Results'!H224</f>
        <v>0</v>
      </c>
      <c r="E893" s="13" t="str">
        <f aca="false">IF('Match Results'!F580&gt;'Match Results'!E580,"Win",IF('Match Results'!E579='Match Results'!F579,"Draw","Loss"))</f>
        <v>Draw</v>
      </c>
      <c r="F893" s="0" t="n">
        <f aca="false">IF(E893="Win",3,IF(E893="Draw",2,1))</f>
        <v>2</v>
      </c>
    </row>
    <row r="894" customFormat="false" ht="14.25" hidden="false" customHeight="false" outlineLevel="0" collapsed="false">
      <c r="A894" s="0" t="n">
        <f aca="false">'Match Results'!A225</f>
        <v>45960</v>
      </c>
      <c r="B894" s="27" t="n">
        <f aca="false">'Match Results'!B894</f>
        <v>0</v>
      </c>
      <c r="C894" s="13" t="n">
        <f aca="false">C890+1</f>
        <v>225</v>
      </c>
      <c r="D894" s="0" t="n">
        <f aca="false">'Match Results'!C225</f>
        <v>0</v>
      </c>
      <c r="E894" s="13" t="str">
        <f aca="false">IF('Match Results'!F581&gt;'Match Results'!E581,"Win",IF('Match Results'!E580='Match Results'!F580,"Draw","Loss"))</f>
        <v>Draw</v>
      </c>
      <c r="F894" s="0" t="n">
        <f aca="false">IF(E894="Win",3,IF(E894="Draw",2,1))</f>
        <v>2</v>
      </c>
    </row>
    <row r="895" customFormat="false" ht="14.25" hidden="false" customHeight="false" outlineLevel="0" collapsed="false">
      <c r="A895" s="0" t="n">
        <f aca="false">'Match Results'!A225</f>
        <v>45960</v>
      </c>
      <c r="B895" s="27" t="n">
        <f aca="false">'Match Results'!B895</f>
        <v>0</v>
      </c>
      <c r="C895" s="13" t="n">
        <f aca="false">C891+1</f>
        <v>225</v>
      </c>
      <c r="D895" s="0" t="n">
        <f aca="false">'Match Results'!D225</f>
        <v>0</v>
      </c>
      <c r="E895" s="13" t="str">
        <f aca="false">IF('Match Results'!F582&gt;'Match Results'!E582,"Win",IF('Match Results'!E581='Match Results'!F581,"Draw","Loss"))</f>
        <v>Draw</v>
      </c>
      <c r="F895" s="0" t="n">
        <f aca="false">IF(E895="Win",3,IF(E895="Draw",2,1))</f>
        <v>2</v>
      </c>
    </row>
    <row r="896" customFormat="false" ht="14.25" hidden="false" customHeight="false" outlineLevel="0" collapsed="false">
      <c r="A896" s="0" t="n">
        <f aca="false">'Match Results'!A225</f>
        <v>45960</v>
      </c>
      <c r="B896" s="27" t="n">
        <f aca="false">'Match Results'!B896</f>
        <v>0</v>
      </c>
      <c r="C896" s="13" t="n">
        <f aca="false">C892+1</f>
        <v>225</v>
      </c>
      <c r="D896" s="0" t="n">
        <f aca="false">'Match Results'!G225</f>
        <v>0</v>
      </c>
      <c r="E896" s="13" t="str">
        <f aca="false">IF('Match Results'!F583&gt;'Match Results'!E583,"Win",IF('Match Results'!E582='Match Results'!F582,"Draw","Loss"))</f>
        <v>Draw</v>
      </c>
      <c r="F896" s="0" t="n">
        <f aca="false">IF(E896="Win",3,IF(E896="Draw",2,1))</f>
        <v>2</v>
      </c>
    </row>
    <row r="897" customFormat="false" ht="14.25" hidden="false" customHeight="false" outlineLevel="0" collapsed="false">
      <c r="A897" s="0" t="n">
        <f aca="false">'Match Results'!A225</f>
        <v>45960</v>
      </c>
      <c r="B897" s="27" t="n">
        <f aca="false">'Match Results'!B897</f>
        <v>0</v>
      </c>
      <c r="C897" s="13" t="n">
        <f aca="false">C893+1</f>
        <v>225</v>
      </c>
      <c r="D897" s="0" t="n">
        <f aca="false">'Match Results'!H225</f>
        <v>0</v>
      </c>
      <c r="E897" s="13" t="str">
        <f aca="false">IF('Match Results'!F584&gt;'Match Results'!E584,"Win",IF('Match Results'!E583='Match Results'!F583,"Draw","Loss"))</f>
        <v>Draw</v>
      </c>
      <c r="F897" s="0" t="n">
        <f aca="false">IF(E897="Win",3,IF(E897="Draw",2,1))</f>
        <v>2</v>
      </c>
    </row>
    <row r="898" customFormat="false" ht="14.25" hidden="false" customHeight="false" outlineLevel="0" collapsed="false">
      <c r="A898" s="0" t="n">
        <f aca="false">'Match Results'!A226</f>
        <v>45960</v>
      </c>
      <c r="B898" s="27" t="n">
        <f aca="false">'Match Results'!B898</f>
        <v>0</v>
      </c>
      <c r="C898" s="13" t="n">
        <f aca="false">C894+1</f>
        <v>226</v>
      </c>
      <c r="D898" s="0" t="n">
        <f aca="false">'Match Results'!C226</f>
        <v>0</v>
      </c>
      <c r="E898" s="13" t="str">
        <f aca="false">IF('Match Results'!F585&gt;'Match Results'!E585,"Win",IF('Match Results'!E584='Match Results'!F584,"Draw","Loss"))</f>
        <v>Draw</v>
      </c>
      <c r="F898" s="0" t="n">
        <f aca="false">IF(E898="Win",3,IF(E898="Draw",2,1))</f>
        <v>2</v>
      </c>
    </row>
    <row r="899" customFormat="false" ht="14.25" hidden="false" customHeight="false" outlineLevel="0" collapsed="false">
      <c r="A899" s="0" t="n">
        <f aca="false">'Match Results'!A226</f>
        <v>45960</v>
      </c>
      <c r="B899" s="27" t="n">
        <f aca="false">'Match Results'!B899</f>
        <v>0</v>
      </c>
      <c r="C899" s="13" t="n">
        <f aca="false">C895+1</f>
        <v>226</v>
      </c>
      <c r="D899" s="0" t="n">
        <f aca="false">'Match Results'!D226</f>
        <v>0</v>
      </c>
      <c r="E899" s="13" t="str">
        <f aca="false">IF('Match Results'!F586&gt;'Match Results'!E586,"Win",IF('Match Results'!E585='Match Results'!F585,"Draw","Loss"))</f>
        <v>Draw</v>
      </c>
      <c r="F899" s="0" t="n">
        <f aca="false">IF(E899="Win",3,IF(E899="Draw",2,1))</f>
        <v>2</v>
      </c>
    </row>
    <row r="900" customFormat="false" ht="14.25" hidden="false" customHeight="false" outlineLevel="0" collapsed="false">
      <c r="A900" s="0" t="n">
        <f aca="false">'Match Results'!A226</f>
        <v>45960</v>
      </c>
      <c r="B900" s="27" t="n">
        <f aca="false">'Match Results'!B900</f>
        <v>0</v>
      </c>
      <c r="C900" s="13" t="n">
        <f aca="false">C896+1</f>
        <v>226</v>
      </c>
      <c r="D900" s="0" t="n">
        <f aca="false">'Match Results'!G226</f>
        <v>0</v>
      </c>
      <c r="E900" s="13" t="str">
        <f aca="false">IF('Match Results'!F587&gt;'Match Results'!E587,"Win",IF('Match Results'!E586='Match Results'!F586,"Draw","Loss"))</f>
        <v>Draw</v>
      </c>
      <c r="F900" s="0" t="n">
        <f aca="false">IF(E900="Win",3,IF(E900="Draw",2,1))</f>
        <v>2</v>
      </c>
    </row>
    <row r="901" customFormat="false" ht="14.25" hidden="false" customHeight="false" outlineLevel="0" collapsed="false">
      <c r="A901" s="0" t="n">
        <f aca="false">'Match Results'!A226</f>
        <v>45960</v>
      </c>
      <c r="B901" s="27" t="n">
        <f aca="false">'Match Results'!B901</f>
        <v>0</v>
      </c>
      <c r="C901" s="13" t="n">
        <f aca="false">C897+1</f>
        <v>226</v>
      </c>
      <c r="D901" s="0" t="n">
        <f aca="false">'Match Results'!H226</f>
        <v>0</v>
      </c>
      <c r="E901" s="13" t="str">
        <f aca="false">IF('Match Results'!F588&gt;'Match Results'!E588,"Win",IF('Match Results'!E587='Match Results'!F587,"Draw","Loss"))</f>
        <v>Draw</v>
      </c>
      <c r="F901" s="0" t="n">
        <f aca="false">IF(E901="Win",3,IF(E901="Draw",2,1))</f>
        <v>2</v>
      </c>
    </row>
    <row r="902" customFormat="false" ht="14.25" hidden="false" customHeight="false" outlineLevel="0" collapsed="false">
      <c r="A902" s="0" t="n">
        <f aca="false">'Match Results'!A227</f>
        <v>45960</v>
      </c>
      <c r="B902" s="27" t="n">
        <f aca="false">'Match Results'!B902</f>
        <v>0</v>
      </c>
      <c r="C902" s="13" t="n">
        <f aca="false">C898+1</f>
        <v>227</v>
      </c>
      <c r="D902" s="0" t="n">
        <f aca="false">'Match Results'!C227</f>
        <v>0</v>
      </c>
      <c r="E902" s="13" t="str">
        <f aca="false">IF('Match Results'!F589&gt;'Match Results'!E589,"Win",IF('Match Results'!E588='Match Results'!F588,"Draw","Loss"))</f>
        <v>Draw</v>
      </c>
      <c r="F902" s="0" t="n">
        <f aca="false">IF(E902="Win",3,IF(E902="Draw",2,1))</f>
        <v>2</v>
      </c>
    </row>
    <row r="903" customFormat="false" ht="14.25" hidden="false" customHeight="false" outlineLevel="0" collapsed="false">
      <c r="A903" s="0" t="n">
        <f aca="false">'Match Results'!A227</f>
        <v>45960</v>
      </c>
      <c r="B903" s="27" t="n">
        <f aca="false">'Match Results'!B903</f>
        <v>0</v>
      </c>
      <c r="C903" s="13" t="n">
        <f aca="false">C899+1</f>
        <v>227</v>
      </c>
      <c r="D903" s="0" t="n">
        <f aca="false">'Match Results'!D227</f>
        <v>0</v>
      </c>
      <c r="E903" s="13" t="str">
        <f aca="false">IF('Match Results'!F590&gt;'Match Results'!E590,"Win",IF('Match Results'!E589='Match Results'!F589,"Draw","Loss"))</f>
        <v>Draw</v>
      </c>
      <c r="F903" s="0" t="n">
        <f aca="false">IF(E903="Win",3,IF(E903="Draw",2,1))</f>
        <v>2</v>
      </c>
    </row>
    <row r="904" customFormat="false" ht="14.25" hidden="false" customHeight="false" outlineLevel="0" collapsed="false">
      <c r="A904" s="0" t="n">
        <f aca="false">'Match Results'!A227</f>
        <v>45960</v>
      </c>
      <c r="B904" s="27" t="n">
        <f aca="false">'Match Results'!B904</f>
        <v>0</v>
      </c>
      <c r="C904" s="13" t="n">
        <f aca="false">C900+1</f>
        <v>227</v>
      </c>
      <c r="D904" s="0" t="n">
        <f aca="false">'Match Results'!G227</f>
        <v>0</v>
      </c>
      <c r="E904" s="13" t="str">
        <f aca="false">IF('Match Results'!F591&gt;'Match Results'!E591,"Win",IF('Match Results'!E590='Match Results'!F590,"Draw","Loss"))</f>
        <v>Draw</v>
      </c>
      <c r="F904" s="0" t="n">
        <f aca="false">IF(E904="Win",3,IF(E904="Draw",2,1))</f>
        <v>2</v>
      </c>
    </row>
    <row r="905" customFormat="false" ht="14.25" hidden="false" customHeight="false" outlineLevel="0" collapsed="false">
      <c r="A905" s="0" t="n">
        <f aca="false">'Match Results'!A227</f>
        <v>45960</v>
      </c>
      <c r="B905" s="27" t="n">
        <f aca="false">'Match Results'!B905</f>
        <v>0</v>
      </c>
      <c r="C905" s="13" t="n">
        <f aca="false">C901+1</f>
        <v>227</v>
      </c>
      <c r="D905" s="0" t="n">
        <f aca="false">'Match Results'!H227</f>
        <v>0</v>
      </c>
      <c r="E905" s="13" t="str">
        <f aca="false">IF('Match Results'!F592&gt;'Match Results'!E592,"Win",IF('Match Results'!E591='Match Results'!F591,"Draw","Loss"))</f>
        <v>Draw</v>
      </c>
      <c r="F905" s="0" t="n">
        <f aca="false">IF(E905="Win",3,IF(E905="Draw",2,1))</f>
        <v>2</v>
      </c>
    </row>
    <row r="906" customFormat="false" ht="14.25" hidden="false" customHeight="false" outlineLevel="0" collapsed="false">
      <c r="A906" s="0" t="n">
        <f aca="false">'Match Results'!A228</f>
        <v>45960</v>
      </c>
      <c r="B906" s="27" t="n">
        <f aca="false">'Match Results'!B906</f>
        <v>0</v>
      </c>
      <c r="C906" s="13" t="n">
        <f aca="false">C902+1</f>
        <v>228</v>
      </c>
      <c r="D906" s="0" t="n">
        <f aca="false">'Match Results'!C228</f>
        <v>0</v>
      </c>
      <c r="E906" s="13" t="str">
        <f aca="false">IF('Match Results'!F593&gt;'Match Results'!E593,"Win",IF('Match Results'!E592='Match Results'!F592,"Draw","Loss"))</f>
        <v>Draw</v>
      </c>
      <c r="F906" s="0" t="n">
        <f aca="false">IF(E906="Win",3,IF(E906="Draw",2,1))</f>
        <v>2</v>
      </c>
    </row>
    <row r="907" customFormat="false" ht="14.25" hidden="false" customHeight="false" outlineLevel="0" collapsed="false">
      <c r="A907" s="0" t="n">
        <f aca="false">'Match Results'!A228</f>
        <v>45960</v>
      </c>
      <c r="B907" s="27" t="n">
        <f aca="false">'Match Results'!B907</f>
        <v>0</v>
      </c>
      <c r="C907" s="13" t="n">
        <f aca="false">C903+1</f>
        <v>228</v>
      </c>
      <c r="D907" s="0" t="n">
        <f aca="false">'Match Results'!D228</f>
        <v>0</v>
      </c>
      <c r="E907" s="13" t="str">
        <f aca="false">IF('Match Results'!F594&gt;'Match Results'!E594,"Win",IF('Match Results'!E593='Match Results'!F593,"Draw","Loss"))</f>
        <v>Draw</v>
      </c>
      <c r="F907" s="0" t="n">
        <f aca="false">IF(E907="Win",3,IF(E907="Draw",2,1))</f>
        <v>2</v>
      </c>
    </row>
    <row r="908" customFormat="false" ht="14.25" hidden="false" customHeight="false" outlineLevel="0" collapsed="false">
      <c r="A908" s="0" t="n">
        <f aca="false">'Match Results'!A228</f>
        <v>45960</v>
      </c>
      <c r="B908" s="27" t="n">
        <f aca="false">'Match Results'!B908</f>
        <v>0</v>
      </c>
      <c r="C908" s="13" t="n">
        <f aca="false">C904+1</f>
        <v>228</v>
      </c>
      <c r="D908" s="0" t="n">
        <f aca="false">'Match Results'!G228</f>
        <v>0</v>
      </c>
      <c r="E908" s="13" t="str">
        <f aca="false">IF('Match Results'!F595&gt;'Match Results'!E595,"Win",IF('Match Results'!E594='Match Results'!F594,"Draw","Loss"))</f>
        <v>Draw</v>
      </c>
      <c r="F908" s="0" t="n">
        <f aca="false">IF(E908="Win",3,IF(E908="Draw",2,1))</f>
        <v>2</v>
      </c>
    </row>
    <row r="909" customFormat="false" ht="14.25" hidden="false" customHeight="false" outlineLevel="0" collapsed="false">
      <c r="A909" s="0" t="n">
        <f aca="false">'Match Results'!A228</f>
        <v>45960</v>
      </c>
      <c r="B909" s="27" t="n">
        <f aca="false">'Match Results'!B909</f>
        <v>0</v>
      </c>
      <c r="C909" s="13" t="n">
        <f aca="false">C905+1</f>
        <v>228</v>
      </c>
      <c r="D909" s="0" t="n">
        <f aca="false">'Match Results'!H228</f>
        <v>0</v>
      </c>
      <c r="E909" s="13" t="str">
        <f aca="false">IF('Match Results'!F596&gt;'Match Results'!E596,"Win",IF('Match Results'!E595='Match Results'!F595,"Draw","Loss"))</f>
        <v>Draw</v>
      </c>
      <c r="F909" s="0" t="n">
        <f aca="false">IF(E909="Win",3,IF(E909="Draw",2,1))</f>
        <v>2</v>
      </c>
    </row>
    <row r="910" customFormat="false" ht="14.25" hidden="false" customHeight="false" outlineLevel="0" collapsed="false">
      <c r="A910" s="0" t="n">
        <f aca="false">'Match Results'!A229</f>
        <v>45960</v>
      </c>
      <c r="B910" s="27" t="n">
        <f aca="false">'Match Results'!B910</f>
        <v>0</v>
      </c>
      <c r="C910" s="13" t="n">
        <f aca="false">C906+1</f>
        <v>229</v>
      </c>
      <c r="D910" s="0" t="n">
        <f aca="false">'Match Results'!C229</f>
        <v>0</v>
      </c>
      <c r="E910" s="13" t="str">
        <f aca="false">IF('Match Results'!F597&gt;'Match Results'!E597,"Win",IF('Match Results'!E596='Match Results'!F596,"Draw","Loss"))</f>
        <v>Draw</v>
      </c>
      <c r="F910" s="0" t="n">
        <f aca="false">IF(E910="Win",3,IF(E910="Draw",2,1))</f>
        <v>2</v>
      </c>
    </row>
    <row r="911" customFormat="false" ht="14.25" hidden="false" customHeight="false" outlineLevel="0" collapsed="false">
      <c r="A911" s="0" t="n">
        <f aca="false">'Match Results'!A229</f>
        <v>45960</v>
      </c>
      <c r="B911" s="27" t="n">
        <f aca="false">'Match Results'!B911</f>
        <v>0</v>
      </c>
      <c r="C911" s="13" t="n">
        <f aca="false">C907+1</f>
        <v>229</v>
      </c>
      <c r="D911" s="0" t="n">
        <f aca="false">'Match Results'!D229</f>
        <v>0</v>
      </c>
      <c r="E911" s="13" t="str">
        <f aca="false">IF('Match Results'!F598&gt;'Match Results'!E598,"Win",IF('Match Results'!E597='Match Results'!F597,"Draw","Loss"))</f>
        <v>Draw</v>
      </c>
      <c r="F911" s="0" t="n">
        <f aca="false">IF(E911="Win",3,IF(E911="Draw",2,1))</f>
        <v>2</v>
      </c>
    </row>
    <row r="912" customFormat="false" ht="14.25" hidden="false" customHeight="false" outlineLevel="0" collapsed="false">
      <c r="A912" s="0" t="n">
        <f aca="false">'Match Results'!A229</f>
        <v>45960</v>
      </c>
      <c r="B912" s="27" t="n">
        <f aca="false">'Match Results'!B912</f>
        <v>0</v>
      </c>
      <c r="C912" s="13" t="n">
        <f aca="false">C908+1</f>
        <v>229</v>
      </c>
      <c r="D912" s="0" t="n">
        <f aca="false">'Match Results'!G229</f>
        <v>0</v>
      </c>
      <c r="E912" s="13" t="str">
        <f aca="false">IF('Match Results'!F599&gt;'Match Results'!E599,"Win",IF('Match Results'!E598='Match Results'!F598,"Draw","Loss"))</f>
        <v>Draw</v>
      </c>
      <c r="F912" s="0" t="n">
        <f aca="false">IF(E912="Win",3,IF(E912="Draw",2,1))</f>
        <v>2</v>
      </c>
    </row>
    <row r="913" customFormat="false" ht="14.25" hidden="false" customHeight="false" outlineLevel="0" collapsed="false">
      <c r="A913" s="0" t="n">
        <f aca="false">'Match Results'!A229</f>
        <v>45960</v>
      </c>
      <c r="B913" s="27" t="n">
        <f aca="false">'Match Results'!B913</f>
        <v>0</v>
      </c>
      <c r="C913" s="13" t="n">
        <f aca="false">C909+1</f>
        <v>229</v>
      </c>
      <c r="D913" s="0" t="n">
        <f aca="false">'Match Results'!H229</f>
        <v>0</v>
      </c>
      <c r="E913" s="13" t="str">
        <f aca="false">IF('Match Results'!F600&gt;'Match Results'!E600,"Win",IF('Match Results'!E599='Match Results'!F599,"Draw","Loss"))</f>
        <v>Draw</v>
      </c>
      <c r="F913" s="0" t="n">
        <f aca="false">IF(E913="Win",3,IF(E913="Draw",2,1))</f>
        <v>2</v>
      </c>
    </row>
    <row r="914" customFormat="false" ht="14.25" hidden="false" customHeight="false" outlineLevel="0" collapsed="false">
      <c r="A914" s="0" t="n">
        <f aca="false">'Match Results'!A230</f>
        <v>45960</v>
      </c>
      <c r="B914" s="27" t="n">
        <f aca="false">'Match Results'!B914</f>
        <v>0</v>
      </c>
      <c r="C914" s="13" t="n">
        <f aca="false">C910+1</f>
        <v>230</v>
      </c>
      <c r="D914" s="0" t="n">
        <f aca="false">'Match Results'!C230</f>
        <v>0</v>
      </c>
      <c r="E914" s="13" t="str">
        <f aca="false">IF('Match Results'!F601&gt;'Match Results'!E601,"Win",IF('Match Results'!E600='Match Results'!F600,"Draw","Loss"))</f>
        <v>Draw</v>
      </c>
      <c r="F914" s="0" t="n">
        <f aca="false">IF(E914="Win",3,IF(E914="Draw",2,1))</f>
        <v>2</v>
      </c>
    </row>
    <row r="915" customFormat="false" ht="14.25" hidden="false" customHeight="false" outlineLevel="0" collapsed="false">
      <c r="A915" s="0" t="n">
        <f aca="false">'Match Results'!A230</f>
        <v>45960</v>
      </c>
      <c r="B915" s="27" t="n">
        <f aca="false">'Match Results'!B915</f>
        <v>0</v>
      </c>
      <c r="C915" s="13" t="n">
        <f aca="false">C911+1</f>
        <v>230</v>
      </c>
      <c r="D915" s="0" t="n">
        <f aca="false">'Match Results'!D230</f>
        <v>0</v>
      </c>
      <c r="E915" s="13" t="str">
        <f aca="false">IF('Match Results'!F602&gt;'Match Results'!E602,"Win",IF('Match Results'!E601='Match Results'!F601,"Draw","Loss"))</f>
        <v>Draw</v>
      </c>
      <c r="F915" s="0" t="n">
        <f aca="false">IF(E915="Win",3,IF(E915="Draw",2,1))</f>
        <v>2</v>
      </c>
    </row>
    <row r="916" customFormat="false" ht="14.25" hidden="false" customHeight="false" outlineLevel="0" collapsed="false">
      <c r="A916" s="0" t="n">
        <f aca="false">'Match Results'!A230</f>
        <v>45960</v>
      </c>
      <c r="B916" s="27" t="n">
        <f aca="false">'Match Results'!B916</f>
        <v>0</v>
      </c>
      <c r="C916" s="13" t="n">
        <f aca="false">C912+1</f>
        <v>230</v>
      </c>
      <c r="D916" s="0" t="n">
        <f aca="false">'Match Results'!G230</f>
        <v>0</v>
      </c>
      <c r="E916" s="13" t="str">
        <f aca="false">IF('Match Results'!F603&gt;'Match Results'!E603,"Win",IF('Match Results'!E602='Match Results'!F602,"Draw","Loss"))</f>
        <v>Draw</v>
      </c>
      <c r="F916" s="0" t="n">
        <f aca="false">IF(E916="Win",3,IF(E916="Draw",2,1))</f>
        <v>2</v>
      </c>
    </row>
    <row r="917" customFormat="false" ht="14.25" hidden="false" customHeight="false" outlineLevel="0" collapsed="false">
      <c r="A917" s="0" t="n">
        <f aca="false">'Match Results'!A230</f>
        <v>45960</v>
      </c>
      <c r="B917" s="27" t="n">
        <f aca="false">'Match Results'!B917</f>
        <v>0</v>
      </c>
      <c r="C917" s="13" t="n">
        <f aca="false">C913+1</f>
        <v>230</v>
      </c>
      <c r="D917" s="0" t="n">
        <f aca="false">'Match Results'!H230</f>
        <v>0</v>
      </c>
      <c r="E917" s="13" t="str">
        <f aca="false">IF('Match Results'!F604&gt;'Match Results'!E604,"Win",IF('Match Results'!E603='Match Results'!F603,"Draw","Loss"))</f>
        <v>Draw</v>
      </c>
      <c r="F917" s="0" t="n">
        <f aca="false">IF(E917="Win",3,IF(E917="Draw",2,1))</f>
        <v>2</v>
      </c>
    </row>
    <row r="918" customFormat="false" ht="14.25" hidden="false" customHeight="false" outlineLevel="0" collapsed="false">
      <c r="A918" s="0" t="n">
        <f aca="false">'Match Results'!A231</f>
        <v>45967</v>
      </c>
      <c r="B918" s="27" t="n">
        <f aca="false">'Match Results'!B918</f>
        <v>0</v>
      </c>
      <c r="C918" s="13" t="n">
        <f aca="false">C914+1</f>
        <v>231</v>
      </c>
      <c r="D918" s="0" t="n">
        <f aca="false">'Match Results'!C231</f>
        <v>0</v>
      </c>
      <c r="E918" s="13" t="str">
        <f aca="false">IF('Match Results'!F605&gt;'Match Results'!E605,"Win",IF('Match Results'!E604='Match Results'!F604,"Draw","Loss"))</f>
        <v>Draw</v>
      </c>
      <c r="F918" s="0" t="n">
        <f aca="false">IF(E918="Win",3,IF(E918="Draw",2,1))</f>
        <v>2</v>
      </c>
    </row>
    <row r="919" customFormat="false" ht="14.25" hidden="false" customHeight="false" outlineLevel="0" collapsed="false">
      <c r="A919" s="0" t="n">
        <f aca="false">'Match Results'!A231</f>
        <v>45967</v>
      </c>
      <c r="B919" s="27" t="n">
        <f aca="false">'Match Results'!B919</f>
        <v>0</v>
      </c>
      <c r="C919" s="13" t="n">
        <f aca="false">C915+1</f>
        <v>231</v>
      </c>
      <c r="D919" s="0" t="n">
        <f aca="false">'Match Results'!D231</f>
        <v>0</v>
      </c>
      <c r="E919" s="13" t="str">
        <f aca="false">IF('Match Results'!F606&gt;'Match Results'!E606,"Win",IF('Match Results'!E605='Match Results'!F605,"Draw","Loss"))</f>
        <v>Draw</v>
      </c>
      <c r="F919" s="0" t="n">
        <f aca="false">IF(E919="Win",3,IF(E919="Draw",2,1))</f>
        <v>2</v>
      </c>
    </row>
    <row r="920" customFormat="false" ht="14.25" hidden="false" customHeight="false" outlineLevel="0" collapsed="false">
      <c r="A920" s="0" t="n">
        <f aca="false">'Match Results'!A231</f>
        <v>45967</v>
      </c>
      <c r="B920" s="27" t="n">
        <f aca="false">'Match Results'!B920</f>
        <v>0</v>
      </c>
      <c r="C920" s="13" t="n">
        <f aca="false">C916+1</f>
        <v>231</v>
      </c>
      <c r="D920" s="0" t="n">
        <f aca="false">'Match Results'!G231</f>
        <v>0</v>
      </c>
      <c r="E920" s="13" t="str">
        <f aca="false">IF('Match Results'!F607&gt;'Match Results'!E607,"Win",IF('Match Results'!E606='Match Results'!F606,"Draw","Loss"))</f>
        <v>Draw</v>
      </c>
      <c r="F920" s="0" t="n">
        <f aca="false">IF(E920="Win",3,IF(E920="Draw",2,1))</f>
        <v>2</v>
      </c>
    </row>
    <row r="921" customFormat="false" ht="14.25" hidden="false" customHeight="false" outlineLevel="0" collapsed="false">
      <c r="A921" s="0" t="n">
        <f aca="false">'Match Results'!A231</f>
        <v>45967</v>
      </c>
      <c r="B921" s="27" t="n">
        <f aca="false">'Match Results'!B921</f>
        <v>0</v>
      </c>
      <c r="C921" s="13" t="n">
        <f aca="false">C917+1</f>
        <v>231</v>
      </c>
      <c r="D921" s="0" t="n">
        <f aca="false">'Match Results'!H231</f>
        <v>0</v>
      </c>
      <c r="E921" s="13" t="str">
        <f aca="false">IF('Match Results'!F608&gt;'Match Results'!E608,"Win",IF('Match Results'!E607='Match Results'!F607,"Draw","Loss"))</f>
        <v>Draw</v>
      </c>
      <c r="F921" s="0" t="n">
        <f aca="false">IF(E921="Win",3,IF(E921="Draw",2,1))</f>
        <v>2</v>
      </c>
    </row>
    <row r="922" customFormat="false" ht="14.25" hidden="false" customHeight="false" outlineLevel="0" collapsed="false">
      <c r="A922" s="0" t="n">
        <f aca="false">'Match Results'!A232</f>
        <v>45960</v>
      </c>
      <c r="B922" s="27" t="n">
        <f aca="false">'Match Results'!B922</f>
        <v>0</v>
      </c>
      <c r="C922" s="13" t="n">
        <f aca="false">C918+1</f>
        <v>232</v>
      </c>
      <c r="D922" s="0" t="n">
        <f aca="false">'Match Results'!C232</f>
        <v>0</v>
      </c>
      <c r="E922" s="13" t="str">
        <f aca="false">IF('Match Results'!F609&gt;'Match Results'!E609,"Win",IF('Match Results'!E608='Match Results'!F608,"Draw","Loss"))</f>
        <v>Draw</v>
      </c>
      <c r="F922" s="0" t="n">
        <f aca="false">IF(E922="Win",3,IF(E922="Draw",2,1))</f>
        <v>2</v>
      </c>
    </row>
    <row r="923" customFormat="false" ht="14.25" hidden="false" customHeight="false" outlineLevel="0" collapsed="false">
      <c r="A923" s="0" t="n">
        <f aca="false">'Match Results'!A232</f>
        <v>45960</v>
      </c>
      <c r="B923" s="27" t="n">
        <f aca="false">'Match Results'!B923</f>
        <v>0</v>
      </c>
      <c r="C923" s="13" t="n">
        <f aca="false">C919+1</f>
        <v>232</v>
      </c>
      <c r="D923" s="0" t="n">
        <f aca="false">'Match Results'!D232</f>
        <v>0</v>
      </c>
      <c r="E923" s="13" t="str">
        <f aca="false">IF('Match Results'!F610&gt;'Match Results'!E610,"Win",IF('Match Results'!E609='Match Results'!F609,"Draw","Loss"))</f>
        <v>Draw</v>
      </c>
      <c r="F923" s="0" t="n">
        <f aca="false">IF(E923="Win",3,IF(E923="Draw",2,1))</f>
        <v>2</v>
      </c>
    </row>
    <row r="924" customFormat="false" ht="14.25" hidden="false" customHeight="false" outlineLevel="0" collapsed="false">
      <c r="A924" s="0" t="n">
        <f aca="false">'Match Results'!A232</f>
        <v>45960</v>
      </c>
      <c r="B924" s="27" t="n">
        <f aca="false">'Match Results'!B924</f>
        <v>0</v>
      </c>
      <c r="C924" s="13" t="n">
        <f aca="false">C920+1</f>
        <v>232</v>
      </c>
      <c r="D924" s="0" t="n">
        <f aca="false">'Match Results'!G232</f>
        <v>0</v>
      </c>
      <c r="E924" s="13" t="str">
        <f aca="false">IF('Match Results'!F611&gt;'Match Results'!E611,"Win",IF('Match Results'!E610='Match Results'!F610,"Draw","Loss"))</f>
        <v>Draw</v>
      </c>
      <c r="F924" s="0" t="n">
        <f aca="false">IF(E924="Win",3,IF(E924="Draw",2,1))</f>
        <v>2</v>
      </c>
    </row>
    <row r="925" customFormat="false" ht="14.25" hidden="false" customHeight="false" outlineLevel="0" collapsed="false">
      <c r="A925" s="0" t="n">
        <f aca="false">'Match Results'!A232</f>
        <v>45960</v>
      </c>
      <c r="B925" s="27" t="n">
        <f aca="false">'Match Results'!B925</f>
        <v>0</v>
      </c>
      <c r="C925" s="13" t="n">
        <f aca="false">C921+1</f>
        <v>232</v>
      </c>
      <c r="D925" s="0" t="n">
        <f aca="false">'Match Results'!H232</f>
        <v>0</v>
      </c>
      <c r="E925" s="13" t="str">
        <f aca="false">IF('Match Results'!F612&gt;'Match Results'!E612,"Win",IF('Match Results'!E611='Match Results'!F611,"Draw","Loss"))</f>
        <v>Draw</v>
      </c>
      <c r="F925" s="0" t="n">
        <f aca="false">IF(E925="Win",3,IF(E925="Draw",2,1))</f>
        <v>2</v>
      </c>
    </row>
    <row r="926" customFormat="false" ht="14.25" hidden="false" customHeight="false" outlineLevel="0" collapsed="false">
      <c r="A926" s="0" t="n">
        <f aca="false">'Match Results'!A233</f>
        <v>45960</v>
      </c>
      <c r="B926" s="27" t="n">
        <f aca="false">'Match Results'!B926</f>
        <v>0</v>
      </c>
      <c r="C926" s="13" t="n">
        <f aca="false">C922+1</f>
        <v>233</v>
      </c>
      <c r="D926" s="0" t="n">
        <f aca="false">'Match Results'!C233</f>
        <v>0</v>
      </c>
      <c r="E926" s="13" t="str">
        <f aca="false">IF('Match Results'!F613&gt;'Match Results'!E613,"Win",IF('Match Results'!E612='Match Results'!F612,"Draw","Loss"))</f>
        <v>Draw</v>
      </c>
      <c r="F926" s="0" t="n">
        <f aca="false">IF(E926="Win",3,IF(E926="Draw",2,1))</f>
        <v>2</v>
      </c>
    </row>
    <row r="927" customFormat="false" ht="14.25" hidden="false" customHeight="false" outlineLevel="0" collapsed="false">
      <c r="A927" s="0" t="n">
        <f aca="false">'Match Results'!A233</f>
        <v>45960</v>
      </c>
      <c r="B927" s="27" t="n">
        <f aca="false">'Match Results'!B927</f>
        <v>0</v>
      </c>
      <c r="C927" s="13" t="n">
        <f aca="false">C923+1</f>
        <v>233</v>
      </c>
      <c r="D927" s="0" t="n">
        <f aca="false">'Match Results'!D233</f>
        <v>0</v>
      </c>
      <c r="E927" s="13" t="str">
        <f aca="false">IF('Match Results'!F614&gt;'Match Results'!E614,"Win",IF('Match Results'!E613='Match Results'!F613,"Draw","Loss"))</f>
        <v>Draw</v>
      </c>
      <c r="F927" s="0" t="n">
        <f aca="false">IF(E927="Win",3,IF(E927="Draw",2,1))</f>
        <v>2</v>
      </c>
    </row>
    <row r="928" customFormat="false" ht="14.25" hidden="false" customHeight="false" outlineLevel="0" collapsed="false">
      <c r="A928" s="0" t="n">
        <f aca="false">'Match Results'!A233</f>
        <v>45960</v>
      </c>
      <c r="B928" s="27" t="n">
        <f aca="false">'Match Results'!B928</f>
        <v>0</v>
      </c>
      <c r="C928" s="13" t="n">
        <f aca="false">C924+1</f>
        <v>233</v>
      </c>
      <c r="D928" s="0" t="n">
        <f aca="false">'Match Results'!G233</f>
        <v>0</v>
      </c>
      <c r="E928" s="13" t="str">
        <f aca="false">IF('Match Results'!F615&gt;'Match Results'!E615,"Win",IF('Match Results'!E614='Match Results'!F614,"Draw","Loss"))</f>
        <v>Draw</v>
      </c>
      <c r="F928" s="0" t="n">
        <f aca="false">IF(E928="Win",3,IF(E928="Draw",2,1))</f>
        <v>2</v>
      </c>
    </row>
    <row r="929" customFormat="false" ht="14.25" hidden="false" customHeight="false" outlineLevel="0" collapsed="false">
      <c r="A929" s="0" t="n">
        <f aca="false">'Match Results'!A233</f>
        <v>45960</v>
      </c>
      <c r="B929" s="27" t="n">
        <f aca="false">'Match Results'!B929</f>
        <v>0</v>
      </c>
      <c r="C929" s="13" t="n">
        <f aca="false">C925+1</f>
        <v>233</v>
      </c>
      <c r="D929" s="0" t="n">
        <f aca="false">'Match Results'!H233</f>
        <v>0</v>
      </c>
      <c r="E929" s="13" t="str">
        <f aca="false">IF('Match Results'!F616&gt;'Match Results'!E616,"Win",IF('Match Results'!E615='Match Results'!F615,"Draw","Loss"))</f>
        <v>Draw</v>
      </c>
      <c r="F929" s="0" t="n">
        <f aca="false">IF(E929="Win",3,IF(E929="Draw",2,1))</f>
        <v>2</v>
      </c>
    </row>
    <row r="930" customFormat="false" ht="14.25" hidden="false" customHeight="false" outlineLevel="0" collapsed="false">
      <c r="A930" s="0" t="n">
        <f aca="false">'Match Results'!A234</f>
        <v>45967</v>
      </c>
      <c r="B930" s="27" t="n">
        <f aca="false">'Match Results'!B930</f>
        <v>0</v>
      </c>
      <c r="C930" s="13" t="n">
        <f aca="false">C926+1</f>
        <v>234</v>
      </c>
      <c r="D930" s="0" t="n">
        <f aca="false">'Match Results'!C234</f>
        <v>0</v>
      </c>
      <c r="E930" s="13" t="str">
        <f aca="false">IF('Match Results'!F617&gt;'Match Results'!E617,"Win",IF('Match Results'!E616='Match Results'!F616,"Draw","Loss"))</f>
        <v>Draw</v>
      </c>
      <c r="F930" s="0" t="n">
        <f aca="false">IF(E930="Win",3,IF(E930="Draw",2,1))</f>
        <v>2</v>
      </c>
    </row>
    <row r="931" customFormat="false" ht="14.25" hidden="false" customHeight="false" outlineLevel="0" collapsed="false">
      <c r="A931" s="0" t="n">
        <f aca="false">'Match Results'!A234</f>
        <v>45967</v>
      </c>
      <c r="B931" s="27" t="n">
        <f aca="false">'Match Results'!B931</f>
        <v>0</v>
      </c>
      <c r="C931" s="13" t="n">
        <f aca="false">C927+1</f>
        <v>234</v>
      </c>
      <c r="D931" s="0" t="n">
        <f aca="false">'Match Results'!D234</f>
        <v>0</v>
      </c>
      <c r="E931" s="13" t="str">
        <f aca="false">IF('Match Results'!F618&gt;'Match Results'!E618,"Win",IF('Match Results'!E617='Match Results'!F617,"Draw","Loss"))</f>
        <v>Draw</v>
      </c>
      <c r="F931" s="0" t="n">
        <f aca="false">IF(E931="Win",3,IF(E931="Draw",2,1))</f>
        <v>2</v>
      </c>
    </row>
    <row r="932" customFormat="false" ht="14.25" hidden="false" customHeight="false" outlineLevel="0" collapsed="false">
      <c r="A932" s="0" t="n">
        <f aca="false">'Match Results'!A234</f>
        <v>45967</v>
      </c>
      <c r="B932" s="27" t="n">
        <f aca="false">'Match Results'!B932</f>
        <v>0</v>
      </c>
      <c r="C932" s="13" t="n">
        <f aca="false">C928+1</f>
        <v>234</v>
      </c>
      <c r="D932" s="0" t="n">
        <f aca="false">'Match Results'!G234</f>
        <v>0</v>
      </c>
      <c r="E932" s="13" t="str">
        <f aca="false">IF('Match Results'!F619&gt;'Match Results'!E619,"Win",IF('Match Results'!E618='Match Results'!F618,"Draw","Loss"))</f>
        <v>Draw</v>
      </c>
      <c r="F932" s="0" t="n">
        <f aca="false">IF(E932="Win",3,IF(E932="Draw",2,1))</f>
        <v>2</v>
      </c>
    </row>
    <row r="933" customFormat="false" ht="14.25" hidden="false" customHeight="false" outlineLevel="0" collapsed="false">
      <c r="A933" s="0" t="n">
        <f aca="false">'Match Results'!A234</f>
        <v>45967</v>
      </c>
      <c r="B933" s="27" t="n">
        <f aca="false">'Match Results'!B933</f>
        <v>0</v>
      </c>
      <c r="C933" s="13" t="n">
        <f aca="false">C929+1</f>
        <v>234</v>
      </c>
      <c r="D933" s="0" t="n">
        <f aca="false">'Match Results'!H234</f>
        <v>0</v>
      </c>
      <c r="E933" s="13" t="str">
        <f aca="false">IF('Match Results'!F620&gt;'Match Results'!E620,"Win",IF('Match Results'!E619='Match Results'!F619,"Draw","Loss"))</f>
        <v>Draw</v>
      </c>
      <c r="F933" s="0" t="n">
        <f aca="false">IF(E933="Win",3,IF(E933="Draw",2,1))</f>
        <v>2</v>
      </c>
    </row>
    <row r="934" customFormat="false" ht="14.25" hidden="false" customHeight="false" outlineLevel="0" collapsed="false">
      <c r="A934" s="0" t="n">
        <f aca="false">'Match Results'!A235</f>
        <v>45967</v>
      </c>
      <c r="B934" s="27" t="n">
        <f aca="false">'Match Results'!B934</f>
        <v>0</v>
      </c>
      <c r="C934" s="13" t="n">
        <f aca="false">C930+1</f>
        <v>235</v>
      </c>
      <c r="D934" s="0" t="n">
        <f aca="false">'Match Results'!C235</f>
        <v>0</v>
      </c>
      <c r="E934" s="13" t="str">
        <f aca="false">IF('Match Results'!F621&gt;'Match Results'!E621,"Win",IF('Match Results'!E620='Match Results'!F620,"Draw","Loss"))</f>
        <v>Draw</v>
      </c>
      <c r="F934" s="0" t="n">
        <f aca="false">IF(E934="Win",3,IF(E934="Draw",2,1))</f>
        <v>2</v>
      </c>
    </row>
    <row r="935" customFormat="false" ht="14.25" hidden="false" customHeight="false" outlineLevel="0" collapsed="false">
      <c r="A935" s="0" t="n">
        <f aca="false">'Match Results'!A235</f>
        <v>45967</v>
      </c>
      <c r="B935" s="27" t="n">
        <f aca="false">'Match Results'!B935</f>
        <v>0</v>
      </c>
      <c r="C935" s="13" t="n">
        <f aca="false">C931+1</f>
        <v>235</v>
      </c>
      <c r="D935" s="0" t="n">
        <f aca="false">'Match Results'!D235</f>
        <v>0</v>
      </c>
      <c r="E935" s="13" t="str">
        <f aca="false">IF('Match Results'!F622&gt;'Match Results'!E622,"Win",IF('Match Results'!E621='Match Results'!F621,"Draw","Loss"))</f>
        <v>Draw</v>
      </c>
      <c r="F935" s="0" t="n">
        <f aca="false">IF(E935="Win",3,IF(E935="Draw",2,1))</f>
        <v>2</v>
      </c>
    </row>
    <row r="936" customFormat="false" ht="14.25" hidden="false" customHeight="false" outlineLevel="0" collapsed="false">
      <c r="A936" s="0" t="n">
        <f aca="false">'Match Results'!A235</f>
        <v>45967</v>
      </c>
      <c r="B936" s="27" t="n">
        <f aca="false">'Match Results'!B936</f>
        <v>0</v>
      </c>
      <c r="C936" s="13" t="n">
        <f aca="false">C932+1</f>
        <v>235</v>
      </c>
      <c r="D936" s="0" t="n">
        <f aca="false">'Match Results'!G235</f>
        <v>0</v>
      </c>
      <c r="E936" s="13" t="str">
        <f aca="false">IF('Match Results'!F623&gt;'Match Results'!E623,"Win",IF('Match Results'!E622='Match Results'!F622,"Draw","Loss"))</f>
        <v>Draw</v>
      </c>
      <c r="F936" s="0" t="n">
        <f aca="false">IF(E936="Win",3,IF(E936="Draw",2,1))</f>
        <v>2</v>
      </c>
    </row>
    <row r="937" customFormat="false" ht="14.25" hidden="false" customHeight="false" outlineLevel="0" collapsed="false">
      <c r="A937" s="0" t="n">
        <f aca="false">'Match Results'!A235</f>
        <v>45967</v>
      </c>
      <c r="B937" s="27" t="n">
        <f aca="false">'Match Results'!B937</f>
        <v>0</v>
      </c>
      <c r="C937" s="13" t="n">
        <f aca="false">C933+1</f>
        <v>235</v>
      </c>
      <c r="D937" s="0" t="n">
        <f aca="false">'Match Results'!H235</f>
        <v>0</v>
      </c>
      <c r="E937" s="13" t="str">
        <f aca="false">IF('Match Results'!F624&gt;'Match Results'!E624,"Win",IF('Match Results'!E623='Match Results'!F623,"Draw","Loss"))</f>
        <v>Draw</v>
      </c>
      <c r="F937" s="0" t="n">
        <f aca="false">IF(E937="Win",3,IF(E937="Draw",2,1))</f>
        <v>2</v>
      </c>
    </row>
    <row r="938" customFormat="false" ht="14.25" hidden="false" customHeight="false" outlineLevel="0" collapsed="false">
      <c r="A938" s="0" t="n">
        <f aca="false">'Match Results'!A236</f>
        <v>45967</v>
      </c>
      <c r="B938" s="27" t="n">
        <f aca="false">'Match Results'!B938</f>
        <v>0</v>
      </c>
      <c r="C938" s="13" t="n">
        <f aca="false">C934+1</f>
        <v>236</v>
      </c>
      <c r="D938" s="0" t="n">
        <f aca="false">'Match Results'!C236</f>
        <v>0</v>
      </c>
      <c r="E938" s="13" t="str">
        <f aca="false">IF('Match Results'!F625&gt;'Match Results'!E625,"Win",IF('Match Results'!E624='Match Results'!F624,"Draw","Loss"))</f>
        <v>Draw</v>
      </c>
      <c r="F938" s="0" t="n">
        <f aca="false">IF(E938="Win",3,IF(E938="Draw",2,1))</f>
        <v>2</v>
      </c>
    </row>
    <row r="939" customFormat="false" ht="14.25" hidden="false" customHeight="false" outlineLevel="0" collapsed="false">
      <c r="A939" s="0" t="n">
        <f aca="false">'Match Results'!A236</f>
        <v>45967</v>
      </c>
      <c r="B939" s="27" t="n">
        <f aca="false">'Match Results'!B939</f>
        <v>0</v>
      </c>
      <c r="C939" s="13" t="n">
        <f aca="false">C935+1</f>
        <v>236</v>
      </c>
      <c r="D939" s="0" t="n">
        <f aca="false">'Match Results'!D236</f>
        <v>0</v>
      </c>
      <c r="E939" s="13" t="str">
        <f aca="false">IF('Match Results'!F626&gt;'Match Results'!E626,"Win",IF('Match Results'!E625='Match Results'!F625,"Draw","Loss"))</f>
        <v>Draw</v>
      </c>
      <c r="F939" s="0" t="n">
        <f aca="false">IF(E939="Win",3,IF(E939="Draw",2,1))</f>
        <v>2</v>
      </c>
    </row>
    <row r="940" customFormat="false" ht="14.25" hidden="false" customHeight="false" outlineLevel="0" collapsed="false">
      <c r="A940" s="0" t="n">
        <f aca="false">'Match Results'!A236</f>
        <v>45967</v>
      </c>
      <c r="B940" s="27" t="n">
        <f aca="false">'Match Results'!B940</f>
        <v>0</v>
      </c>
      <c r="C940" s="13" t="n">
        <f aca="false">C936+1</f>
        <v>236</v>
      </c>
      <c r="D940" s="0" t="n">
        <f aca="false">'Match Results'!G236</f>
        <v>0</v>
      </c>
      <c r="E940" s="13" t="str">
        <f aca="false">IF('Match Results'!F627&gt;'Match Results'!E627,"Win",IF('Match Results'!E626='Match Results'!F626,"Draw","Loss"))</f>
        <v>Draw</v>
      </c>
      <c r="F940" s="0" t="n">
        <f aca="false">IF(E940="Win",3,IF(E940="Draw",2,1))</f>
        <v>2</v>
      </c>
    </row>
    <row r="941" customFormat="false" ht="14.25" hidden="false" customHeight="false" outlineLevel="0" collapsed="false">
      <c r="A941" s="0" t="n">
        <f aca="false">'Match Results'!A236</f>
        <v>45967</v>
      </c>
      <c r="B941" s="27" t="n">
        <f aca="false">'Match Results'!B941</f>
        <v>0</v>
      </c>
      <c r="C941" s="13" t="n">
        <f aca="false">C937+1</f>
        <v>236</v>
      </c>
      <c r="D941" s="0" t="n">
        <f aca="false">'Match Results'!H236</f>
        <v>0</v>
      </c>
      <c r="E941" s="13" t="str">
        <f aca="false">IF('Match Results'!F628&gt;'Match Results'!E628,"Win",IF('Match Results'!E627='Match Results'!F627,"Draw","Loss"))</f>
        <v>Draw</v>
      </c>
      <c r="F941" s="0" t="n">
        <f aca="false">IF(E941="Win",3,IF(E941="Draw",2,1))</f>
        <v>2</v>
      </c>
    </row>
    <row r="942" customFormat="false" ht="14.25" hidden="false" customHeight="false" outlineLevel="0" collapsed="false">
      <c r="A942" s="0" t="n">
        <f aca="false">'Match Results'!A237</f>
        <v>45967</v>
      </c>
      <c r="B942" s="27" t="n">
        <f aca="false">'Match Results'!B942</f>
        <v>0</v>
      </c>
      <c r="C942" s="13" t="n">
        <f aca="false">C938+1</f>
        <v>237</v>
      </c>
      <c r="D942" s="0" t="n">
        <f aca="false">'Match Results'!C237</f>
        <v>0</v>
      </c>
      <c r="E942" s="13" t="str">
        <f aca="false">IF('Match Results'!F629&gt;'Match Results'!E629,"Win",IF('Match Results'!E628='Match Results'!F628,"Draw","Loss"))</f>
        <v>Draw</v>
      </c>
      <c r="F942" s="0" t="n">
        <f aca="false">IF(E942="Win",3,IF(E942="Draw",2,1))</f>
        <v>2</v>
      </c>
    </row>
    <row r="943" customFormat="false" ht="14.25" hidden="false" customHeight="false" outlineLevel="0" collapsed="false">
      <c r="A943" s="0" t="n">
        <f aca="false">'Match Results'!A237</f>
        <v>45967</v>
      </c>
      <c r="B943" s="27" t="n">
        <f aca="false">'Match Results'!B943</f>
        <v>0</v>
      </c>
      <c r="C943" s="13" t="n">
        <f aca="false">C939+1</f>
        <v>237</v>
      </c>
      <c r="D943" s="0" t="n">
        <f aca="false">'Match Results'!D237</f>
        <v>0</v>
      </c>
      <c r="E943" s="13" t="str">
        <f aca="false">IF('Match Results'!F630&gt;'Match Results'!E630,"Win",IF('Match Results'!E629='Match Results'!F629,"Draw","Loss"))</f>
        <v>Draw</v>
      </c>
      <c r="F943" s="0" t="n">
        <f aca="false">IF(E943="Win",3,IF(E943="Draw",2,1))</f>
        <v>2</v>
      </c>
    </row>
    <row r="944" customFormat="false" ht="14.25" hidden="false" customHeight="false" outlineLevel="0" collapsed="false">
      <c r="A944" s="0" t="n">
        <f aca="false">'Match Results'!A237</f>
        <v>45967</v>
      </c>
      <c r="B944" s="27" t="n">
        <f aca="false">'Match Results'!B944</f>
        <v>0</v>
      </c>
      <c r="C944" s="13" t="n">
        <f aca="false">C940+1</f>
        <v>237</v>
      </c>
      <c r="D944" s="0" t="n">
        <f aca="false">'Match Results'!G237</f>
        <v>0</v>
      </c>
      <c r="E944" s="13" t="str">
        <f aca="false">IF('Match Results'!F631&gt;'Match Results'!E631,"Win",IF('Match Results'!E630='Match Results'!F630,"Draw","Loss"))</f>
        <v>Draw</v>
      </c>
      <c r="F944" s="0" t="n">
        <f aca="false">IF(E944="Win",3,IF(E944="Draw",2,1))</f>
        <v>2</v>
      </c>
    </row>
    <row r="945" customFormat="false" ht="14.25" hidden="false" customHeight="false" outlineLevel="0" collapsed="false">
      <c r="A945" s="0" t="n">
        <f aca="false">'Match Results'!A237</f>
        <v>45967</v>
      </c>
      <c r="B945" s="27" t="n">
        <f aca="false">'Match Results'!B945</f>
        <v>0</v>
      </c>
      <c r="C945" s="13" t="n">
        <f aca="false">C941+1</f>
        <v>237</v>
      </c>
      <c r="D945" s="0" t="n">
        <f aca="false">'Match Results'!H237</f>
        <v>0</v>
      </c>
      <c r="E945" s="13" t="str">
        <f aca="false">IF('Match Results'!F632&gt;'Match Results'!E632,"Win",IF('Match Results'!E631='Match Results'!F631,"Draw","Loss"))</f>
        <v>Draw</v>
      </c>
      <c r="F945" s="0" t="n">
        <f aca="false">IF(E945="Win",3,IF(E945="Draw",2,1))</f>
        <v>2</v>
      </c>
    </row>
    <row r="946" customFormat="false" ht="14.25" hidden="false" customHeight="false" outlineLevel="0" collapsed="false">
      <c r="A946" s="0" t="n">
        <f aca="false">'Match Results'!A238</f>
        <v>45967</v>
      </c>
      <c r="B946" s="27" t="n">
        <f aca="false">'Match Results'!B946</f>
        <v>0</v>
      </c>
      <c r="C946" s="13" t="n">
        <f aca="false">C942+1</f>
        <v>238</v>
      </c>
      <c r="D946" s="0" t="n">
        <f aca="false">'Match Results'!C238</f>
        <v>0</v>
      </c>
      <c r="E946" s="13" t="str">
        <f aca="false">IF('Match Results'!F633&gt;'Match Results'!E633,"Win",IF('Match Results'!E632='Match Results'!F632,"Draw","Loss"))</f>
        <v>Draw</v>
      </c>
      <c r="F946" s="0" t="n">
        <f aca="false">IF(E946="Win",3,IF(E946="Draw",2,1))</f>
        <v>2</v>
      </c>
    </row>
    <row r="947" customFormat="false" ht="14.25" hidden="false" customHeight="false" outlineLevel="0" collapsed="false">
      <c r="A947" s="0" t="n">
        <f aca="false">'Match Results'!A238</f>
        <v>45967</v>
      </c>
      <c r="B947" s="27" t="n">
        <f aca="false">'Match Results'!B947</f>
        <v>0</v>
      </c>
      <c r="C947" s="13" t="n">
        <f aca="false">C943+1</f>
        <v>238</v>
      </c>
      <c r="D947" s="0" t="n">
        <f aca="false">'Match Results'!D238</f>
        <v>0</v>
      </c>
      <c r="E947" s="13" t="str">
        <f aca="false">IF('Match Results'!F634&gt;'Match Results'!E634,"Win",IF('Match Results'!E633='Match Results'!F633,"Draw","Loss"))</f>
        <v>Draw</v>
      </c>
      <c r="F947" s="0" t="n">
        <f aca="false">IF(E947="Win",3,IF(E947="Draw",2,1))</f>
        <v>2</v>
      </c>
    </row>
    <row r="948" customFormat="false" ht="14.25" hidden="false" customHeight="false" outlineLevel="0" collapsed="false">
      <c r="A948" s="0" t="n">
        <f aca="false">'Match Results'!A238</f>
        <v>45967</v>
      </c>
      <c r="B948" s="27" t="n">
        <f aca="false">'Match Results'!B948</f>
        <v>0</v>
      </c>
      <c r="C948" s="13" t="n">
        <f aca="false">C944+1</f>
        <v>238</v>
      </c>
      <c r="D948" s="0" t="n">
        <f aca="false">'Match Results'!G238</f>
        <v>0</v>
      </c>
      <c r="E948" s="13" t="str">
        <f aca="false">IF('Match Results'!F635&gt;'Match Results'!E635,"Win",IF('Match Results'!E634='Match Results'!F634,"Draw","Loss"))</f>
        <v>Draw</v>
      </c>
      <c r="F948" s="0" t="n">
        <f aca="false">IF(E948="Win",3,IF(E948="Draw",2,1))</f>
        <v>2</v>
      </c>
    </row>
    <row r="949" customFormat="false" ht="14.25" hidden="false" customHeight="false" outlineLevel="0" collapsed="false">
      <c r="A949" s="0" t="n">
        <f aca="false">'Match Results'!A238</f>
        <v>45967</v>
      </c>
      <c r="B949" s="27" t="n">
        <f aca="false">'Match Results'!B949</f>
        <v>0</v>
      </c>
      <c r="C949" s="13" t="n">
        <f aca="false">C945+1</f>
        <v>238</v>
      </c>
      <c r="D949" s="0" t="n">
        <f aca="false">'Match Results'!H238</f>
        <v>0</v>
      </c>
      <c r="E949" s="13" t="str">
        <f aca="false">IF('Match Results'!F636&gt;'Match Results'!E636,"Win",IF('Match Results'!E635='Match Results'!F635,"Draw","Loss"))</f>
        <v>Draw</v>
      </c>
      <c r="F949" s="0" t="n">
        <f aca="false">IF(E949="Win",3,IF(E949="Draw",2,1))</f>
        <v>2</v>
      </c>
    </row>
    <row r="950" customFormat="false" ht="14.25" hidden="false" customHeight="false" outlineLevel="0" collapsed="false">
      <c r="A950" s="0" t="n">
        <f aca="false">'Match Results'!A239</f>
        <v>45967</v>
      </c>
      <c r="B950" s="27" t="n">
        <f aca="false">'Match Results'!B950</f>
        <v>0</v>
      </c>
      <c r="C950" s="13" t="n">
        <f aca="false">C946+1</f>
        <v>239</v>
      </c>
      <c r="D950" s="0" t="n">
        <f aca="false">'Match Results'!C239</f>
        <v>0</v>
      </c>
      <c r="E950" s="13" t="str">
        <f aca="false">IF('Match Results'!F637&gt;'Match Results'!E637,"Win",IF('Match Results'!E636='Match Results'!F636,"Draw","Loss"))</f>
        <v>Draw</v>
      </c>
      <c r="F950" s="0" t="n">
        <f aca="false">IF(E950="Win",3,IF(E950="Draw",2,1))</f>
        <v>2</v>
      </c>
    </row>
    <row r="951" customFormat="false" ht="14.25" hidden="false" customHeight="false" outlineLevel="0" collapsed="false">
      <c r="A951" s="0" t="n">
        <f aca="false">'Match Results'!A239</f>
        <v>45967</v>
      </c>
      <c r="B951" s="27" t="n">
        <f aca="false">'Match Results'!B951</f>
        <v>0</v>
      </c>
      <c r="C951" s="13" t="n">
        <f aca="false">C947+1</f>
        <v>239</v>
      </c>
      <c r="D951" s="0" t="n">
        <f aca="false">'Match Results'!D239</f>
        <v>0</v>
      </c>
      <c r="E951" s="13" t="str">
        <f aca="false">IF('Match Results'!F638&gt;'Match Results'!E638,"Win",IF('Match Results'!E637='Match Results'!F637,"Draw","Loss"))</f>
        <v>Draw</v>
      </c>
      <c r="F951" s="0" t="n">
        <f aca="false">IF(E951="Win",3,IF(E951="Draw",2,1))</f>
        <v>2</v>
      </c>
    </row>
    <row r="952" customFormat="false" ht="14.25" hidden="false" customHeight="false" outlineLevel="0" collapsed="false">
      <c r="A952" s="0" t="n">
        <f aca="false">'Match Results'!A239</f>
        <v>45967</v>
      </c>
      <c r="B952" s="27" t="n">
        <f aca="false">'Match Results'!B952</f>
        <v>0</v>
      </c>
      <c r="C952" s="13" t="n">
        <f aca="false">C948+1</f>
        <v>239</v>
      </c>
      <c r="D952" s="0" t="n">
        <f aca="false">'Match Results'!G239</f>
        <v>0</v>
      </c>
      <c r="E952" s="13" t="str">
        <f aca="false">IF('Match Results'!F639&gt;'Match Results'!E639,"Win",IF('Match Results'!E638='Match Results'!F638,"Draw","Loss"))</f>
        <v>Draw</v>
      </c>
      <c r="F952" s="0" t="n">
        <f aca="false">IF(E952="Win",3,IF(E952="Draw",2,1))</f>
        <v>2</v>
      </c>
    </row>
    <row r="953" customFormat="false" ht="14.25" hidden="false" customHeight="false" outlineLevel="0" collapsed="false">
      <c r="A953" s="0" t="n">
        <f aca="false">'Match Results'!A239</f>
        <v>45967</v>
      </c>
      <c r="B953" s="27" t="n">
        <f aca="false">'Match Results'!B953</f>
        <v>0</v>
      </c>
      <c r="C953" s="13" t="n">
        <f aca="false">C949+1</f>
        <v>239</v>
      </c>
      <c r="D953" s="0" t="n">
        <f aca="false">'Match Results'!H239</f>
        <v>0</v>
      </c>
      <c r="E953" s="13" t="str">
        <f aca="false">IF('Match Results'!F640&gt;'Match Results'!E640,"Win",IF('Match Results'!E639='Match Results'!F639,"Draw","Loss"))</f>
        <v>Draw</v>
      </c>
      <c r="F953" s="0" t="n">
        <f aca="false">IF(E953="Win",3,IF(E953="Draw",2,1))</f>
        <v>2</v>
      </c>
    </row>
    <row r="954" customFormat="false" ht="14.25" hidden="false" customHeight="false" outlineLevel="0" collapsed="false">
      <c r="A954" s="0" t="n">
        <f aca="false">'Match Results'!A240</f>
        <v>45967</v>
      </c>
      <c r="B954" s="27" t="n">
        <f aca="false">'Match Results'!B954</f>
        <v>0</v>
      </c>
      <c r="C954" s="13" t="n">
        <f aca="false">C950+1</f>
        <v>240</v>
      </c>
      <c r="D954" s="0" t="n">
        <f aca="false">'Match Results'!C240</f>
        <v>0</v>
      </c>
      <c r="E954" s="13" t="str">
        <f aca="false">IF('Match Results'!F641&gt;'Match Results'!E641,"Win",IF('Match Results'!E640='Match Results'!F640,"Draw","Loss"))</f>
        <v>Draw</v>
      </c>
      <c r="F954" s="0" t="n">
        <f aca="false">IF(E954="Win",3,IF(E954="Draw",2,1))</f>
        <v>2</v>
      </c>
    </row>
    <row r="955" customFormat="false" ht="14.25" hidden="false" customHeight="false" outlineLevel="0" collapsed="false">
      <c r="A955" s="0" t="n">
        <f aca="false">'Match Results'!A240</f>
        <v>45967</v>
      </c>
      <c r="B955" s="27" t="n">
        <f aca="false">'Match Results'!B955</f>
        <v>0</v>
      </c>
      <c r="C955" s="13" t="n">
        <f aca="false">C951+1</f>
        <v>240</v>
      </c>
      <c r="D955" s="0" t="n">
        <f aca="false">'Match Results'!D240</f>
        <v>0</v>
      </c>
      <c r="E955" s="13" t="str">
        <f aca="false">IF('Match Results'!F642&gt;'Match Results'!E642,"Win",IF('Match Results'!E641='Match Results'!F641,"Draw","Loss"))</f>
        <v>Draw</v>
      </c>
      <c r="F955" s="0" t="n">
        <f aca="false">IF(E955="Win",3,IF(E955="Draw",2,1))</f>
        <v>2</v>
      </c>
    </row>
    <row r="956" customFormat="false" ht="14.25" hidden="false" customHeight="false" outlineLevel="0" collapsed="false">
      <c r="A956" s="0" t="n">
        <f aca="false">'Match Results'!A240</f>
        <v>45967</v>
      </c>
      <c r="B956" s="27" t="n">
        <f aca="false">'Match Results'!B956</f>
        <v>0</v>
      </c>
      <c r="C956" s="13" t="n">
        <f aca="false">C952+1</f>
        <v>240</v>
      </c>
      <c r="D956" s="0" t="n">
        <f aca="false">'Match Results'!G240</f>
        <v>0</v>
      </c>
      <c r="E956" s="13" t="str">
        <f aca="false">IF('Match Results'!F643&gt;'Match Results'!E643,"Win",IF('Match Results'!E642='Match Results'!F642,"Draw","Loss"))</f>
        <v>Draw</v>
      </c>
      <c r="F956" s="0" t="n">
        <f aca="false">IF(E956="Win",3,IF(E956="Draw",2,1))</f>
        <v>2</v>
      </c>
    </row>
    <row r="957" customFormat="false" ht="14.25" hidden="false" customHeight="false" outlineLevel="0" collapsed="false">
      <c r="A957" s="0" t="n">
        <f aca="false">'Match Results'!A240</f>
        <v>45967</v>
      </c>
      <c r="B957" s="27" t="n">
        <f aca="false">'Match Results'!B957</f>
        <v>0</v>
      </c>
      <c r="C957" s="13" t="n">
        <f aca="false">C953+1</f>
        <v>240</v>
      </c>
      <c r="D957" s="0" t="n">
        <f aca="false">'Match Results'!H240</f>
        <v>0</v>
      </c>
      <c r="E957" s="13" t="str">
        <f aca="false">IF('Match Results'!F644&gt;'Match Results'!E644,"Win",IF('Match Results'!E643='Match Results'!F643,"Draw","Loss"))</f>
        <v>Draw</v>
      </c>
      <c r="F957" s="0" t="n">
        <f aca="false">IF(E957="Win",3,IF(E957="Draw",2,1))</f>
        <v>2</v>
      </c>
    </row>
    <row r="958" customFormat="false" ht="14.25" hidden="false" customHeight="false" outlineLevel="0" collapsed="false">
      <c r="A958" s="0" t="n">
        <f aca="false">'Match Results'!A241</f>
        <v>45967</v>
      </c>
      <c r="B958" s="27" t="n">
        <f aca="false">'Match Results'!B958</f>
        <v>0</v>
      </c>
      <c r="C958" s="13" t="n">
        <f aca="false">C954+1</f>
        <v>241</v>
      </c>
      <c r="D958" s="0" t="n">
        <f aca="false">'Match Results'!C241</f>
        <v>0</v>
      </c>
      <c r="E958" s="13" t="str">
        <f aca="false">IF('Match Results'!F645&gt;'Match Results'!E645,"Win",IF('Match Results'!E644='Match Results'!F644,"Draw","Loss"))</f>
        <v>Draw</v>
      </c>
      <c r="F958" s="0" t="n">
        <f aca="false">IF(E958="Win",3,IF(E958="Draw",2,1))</f>
        <v>2</v>
      </c>
    </row>
    <row r="959" customFormat="false" ht="14.25" hidden="false" customHeight="false" outlineLevel="0" collapsed="false">
      <c r="A959" s="0" t="n">
        <f aca="false">'Match Results'!A241</f>
        <v>45967</v>
      </c>
      <c r="B959" s="27" t="n">
        <f aca="false">'Match Results'!B959</f>
        <v>0</v>
      </c>
      <c r="C959" s="13" t="n">
        <f aca="false">C955+1</f>
        <v>241</v>
      </c>
      <c r="D959" s="0" t="n">
        <f aca="false">'Match Results'!D241</f>
        <v>0</v>
      </c>
      <c r="E959" s="13" t="str">
        <f aca="false">IF('Match Results'!F646&gt;'Match Results'!E646,"Win",IF('Match Results'!E645='Match Results'!F645,"Draw","Loss"))</f>
        <v>Draw</v>
      </c>
      <c r="F959" s="0" t="n">
        <f aca="false">IF(E959="Win",3,IF(E959="Draw",2,1))</f>
        <v>2</v>
      </c>
    </row>
    <row r="960" customFormat="false" ht="14.25" hidden="false" customHeight="false" outlineLevel="0" collapsed="false">
      <c r="A960" s="0" t="n">
        <f aca="false">'Match Results'!A241</f>
        <v>45967</v>
      </c>
      <c r="B960" s="27" t="n">
        <f aca="false">'Match Results'!B960</f>
        <v>0</v>
      </c>
      <c r="C960" s="13" t="n">
        <f aca="false">C956+1</f>
        <v>241</v>
      </c>
      <c r="D960" s="0" t="n">
        <f aca="false">'Match Results'!G241</f>
        <v>0</v>
      </c>
      <c r="E960" s="13" t="str">
        <f aca="false">IF('Match Results'!F647&gt;'Match Results'!E647,"Win",IF('Match Results'!E646='Match Results'!F646,"Draw","Loss"))</f>
        <v>Draw</v>
      </c>
      <c r="F960" s="0" t="n">
        <f aca="false">IF(E960="Win",3,IF(E960="Draw",2,1))</f>
        <v>2</v>
      </c>
    </row>
    <row r="961" customFormat="false" ht="14.25" hidden="false" customHeight="false" outlineLevel="0" collapsed="false">
      <c r="A961" s="0" t="n">
        <f aca="false">'Match Results'!A241</f>
        <v>45967</v>
      </c>
      <c r="B961" s="27" t="n">
        <f aca="false">'Match Results'!B961</f>
        <v>0</v>
      </c>
      <c r="C961" s="13" t="n">
        <f aca="false">C957+1</f>
        <v>241</v>
      </c>
      <c r="D961" s="0" t="n">
        <f aca="false">'Match Results'!H241</f>
        <v>0</v>
      </c>
      <c r="E961" s="13" t="str">
        <f aca="false">IF('Match Results'!F648&gt;'Match Results'!E648,"Win",IF('Match Results'!E647='Match Results'!F647,"Draw","Loss"))</f>
        <v>Draw</v>
      </c>
      <c r="F961" s="0" t="n">
        <f aca="false">IF(E961="Win",3,IF(E961="Draw",2,1))</f>
        <v>2</v>
      </c>
    </row>
    <row r="962" customFormat="false" ht="14.25" hidden="false" customHeight="false" outlineLevel="0" collapsed="false">
      <c r="A962" s="0" t="n">
        <f aca="false">'Match Results'!A242</f>
        <v>45967</v>
      </c>
      <c r="B962" s="27" t="n">
        <f aca="false">'Match Results'!B962</f>
        <v>0</v>
      </c>
      <c r="C962" s="13" t="n">
        <f aca="false">C958+1</f>
        <v>242</v>
      </c>
      <c r="D962" s="0" t="n">
        <f aca="false">'Match Results'!C242</f>
        <v>0</v>
      </c>
      <c r="E962" s="13" t="str">
        <f aca="false">IF('Match Results'!F649&gt;'Match Results'!E649,"Win",IF('Match Results'!E648='Match Results'!F648,"Draw","Loss"))</f>
        <v>Draw</v>
      </c>
      <c r="F962" s="0" t="n">
        <f aca="false">IF(E962="Win",3,IF(E962="Draw",2,1))</f>
        <v>2</v>
      </c>
    </row>
    <row r="963" customFormat="false" ht="14.25" hidden="false" customHeight="false" outlineLevel="0" collapsed="false">
      <c r="A963" s="0" t="n">
        <f aca="false">'Match Results'!A242</f>
        <v>45967</v>
      </c>
      <c r="B963" s="27" t="n">
        <f aca="false">'Match Results'!B963</f>
        <v>0</v>
      </c>
      <c r="C963" s="13" t="n">
        <f aca="false">C959+1</f>
        <v>242</v>
      </c>
      <c r="D963" s="0" t="n">
        <f aca="false">'Match Results'!D242</f>
        <v>0</v>
      </c>
      <c r="E963" s="13" t="str">
        <f aca="false">IF('Match Results'!F650&gt;'Match Results'!E650,"Win",IF('Match Results'!E649='Match Results'!F649,"Draw","Loss"))</f>
        <v>Draw</v>
      </c>
      <c r="F963" s="0" t="n">
        <f aca="false">IF(E963="Win",3,IF(E963="Draw",2,1))</f>
        <v>2</v>
      </c>
    </row>
    <row r="964" customFormat="false" ht="14.25" hidden="false" customHeight="false" outlineLevel="0" collapsed="false">
      <c r="A964" s="0" t="n">
        <f aca="false">'Match Results'!A242</f>
        <v>45967</v>
      </c>
      <c r="B964" s="27" t="n">
        <f aca="false">'Match Results'!B964</f>
        <v>0</v>
      </c>
      <c r="C964" s="13" t="n">
        <f aca="false">C960+1</f>
        <v>242</v>
      </c>
      <c r="D964" s="0" t="n">
        <f aca="false">'Match Results'!G242</f>
        <v>0</v>
      </c>
      <c r="E964" s="13" t="str">
        <f aca="false">IF('Match Results'!F651&gt;'Match Results'!E651,"Win",IF('Match Results'!E650='Match Results'!F650,"Draw","Loss"))</f>
        <v>Draw</v>
      </c>
      <c r="F964" s="0" t="n">
        <f aca="false">IF(E964="Win",3,IF(E964="Draw",2,1))</f>
        <v>2</v>
      </c>
    </row>
    <row r="965" customFormat="false" ht="14.25" hidden="false" customHeight="false" outlineLevel="0" collapsed="false">
      <c r="A965" s="0" t="n">
        <f aca="false">'Match Results'!A242</f>
        <v>45967</v>
      </c>
      <c r="B965" s="27" t="n">
        <f aca="false">'Match Results'!B965</f>
        <v>0</v>
      </c>
      <c r="C965" s="13" t="n">
        <f aca="false">C961+1</f>
        <v>242</v>
      </c>
      <c r="D965" s="0" t="n">
        <f aca="false">'Match Results'!H242</f>
        <v>0</v>
      </c>
      <c r="E965" s="13" t="str">
        <f aca="false">IF('Match Results'!F652&gt;'Match Results'!E652,"Win",IF('Match Results'!E651='Match Results'!F651,"Draw","Loss"))</f>
        <v>Draw</v>
      </c>
      <c r="F965" s="0" t="n">
        <f aca="false">IF(E965="Win",3,IF(E965="Draw",2,1))</f>
        <v>2</v>
      </c>
    </row>
    <row r="966" customFormat="false" ht="14.25" hidden="false" customHeight="false" outlineLevel="0" collapsed="false">
      <c r="A966" s="0" t="n">
        <f aca="false">'Match Results'!A243</f>
        <v>45960</v>
      </c>
      <c r="B966" s="27" t="n">
        <f aca="false">'Match Results'!B966</f>
        <v>0</v>
      </c>
      <c r="C966" s="13" t="n">
        <f aca="false">C962+1</f>
        <v>243</v>
      </c>
      <c r="D966" s="0" t="n">
        <f aca="false">'Match Results'!C243</f>
        <v>0</v>
      </c>
      <c r="E966" s="13" t="str">
        <f aca="false">IF('Match Results'!F653&gt;'Match Results'!E653,"Win",IF('Match Results'!E652='Match Results'!F652,"Draw","Loss"))</f>
        <v>Draw</v>
      </c>
      <c r="F966" s="0" t="n">
        <f aca="false">IF(E966="Win",3,IF(E966="Draw",2,1))</f>
        <v>2</v>
      </c>
    </row>
    <row r="967" customFormat="false" ht="14.25" hidden="false" customHeight="false" outlineLevel="0" collapsed="false">
      <c r="A967" s="0" t="n">
        <f aca="false">'Match Results'!A243</f>
        <v>45960</v>
      </c>
      <c r="B967" s="27" t="n">
        <f aca="false">'Match Results'!B967</f>
        <v>0</v>
      </c>
      <c r="C967" s="13" t="n">
        <f aca="false">C963+1</f>
        <v>243</v>
      </c>
      <c r="D967" s="0" t="n">
        <f aca="false">'Match Results'!D243</f>
        <v>0</v>
      </c>
      <c r="E967" s="13" t="str">
        <f aca="false">IF('Match Results'!F654&gt;'Match Results'!E654,"Win",IF('Match Results'!E653='Match Results'!F653,"Draw","Loss"))</f>
        <v>Draw</v>
      </c>
      <c r="F967" s="0" t="n">
        <f aca="false">IF(E967="Win",3,IF(E967="Draw",2,1))</f>
        <v>2</v>
      </c>
    </row>
    <row r="968" customFormat="false" ht="14.25" hidden="false" customHeight="false" outlineLevel="0" collapsed="false">
      <c r="A968" s="0" t="n">
        <f aca="false">'Match Results'!A243</f>
        <v>45960</v>
      </c>
      <c r="B968" s="27" t="n">
        <f aca="false">'Match Results'!B968</f>
        <v>0</v>
      </c>
      <c r="C968" s="13" t="n">
        <f aca="false">C964+1</f>
        <v>243</v>
      </c>
      <c r="D968" s="0" t="n">
        <f aca="false">'Match Results'!G243</f>
        <v>0</v>
      </c>
      <c r="E968" s="13" t="str">
        <f aca="false">IF('Match Results'!F655&gt;'Match Results'!E655,"Win",IF('Match Results'!E654='Match Results'!F654,"Draw","Loss"))</f>
        <v>Draw</v>
      </c>
      <c r="F968" s="0" t="n">
        <f aca="false">IF(E968="Win",3,IF(E968="Draw",2,1))</f>
        <v>2</v>
      </c>
    </row>
    <row r="969" customFormat="false" ht="14.25" hidden="false" customHeight="false" outlineLevel="0" collapsed="false">
      <c r="A969" s="0" t="n">
        <f aca="false">'Match Results'!A243</f>
        <v>45960</v>
      </c>
      <c r="B969" s="27" t="n">
        <f aca="false">'Match Results'!B969</f>
        <v>0</v>
      </c>
      <c r="C969" s="13" t="n">
        <f aca="false">C965+1</f>
        <v>243</v>
      </c>
      <c r="D969" s="0" t="n">
        <f aca="false">'Match Results'!H243</f>
        <v>0</v>
      </c>
      <c r="E969" s="13" t="str">
        <f aca="false">IF('Match Results'!F656&gt;'Match Results'!E656,"Win",IF('Match Results'!E655='Match Results'!F655,"Draw","Loss"))</f>
        <v>Draw</v>
      </c>
      <c r="F969" s="0" t="n">
        <f aca="false">IF(E969="Win",3,IF(E969="Draw",2,1))</f>
        <v>2</v>
      </c>
    </row>
    <row r="970" customFormat="false" ht="14.25" hidden="false" customHeight="false" outlineLevel="0" collapsed="false">
      <c r="A970" s="0" t="n">
        <f aca="false">'Match Results'!A244</f>
        <v>45960</v>
      </c>
      <c r="B970" s="27" t="n">
        <f aca="false">'Match Results'!B970</f>
        <v>0</v>
      </c>
      <c r="C970" s="13" t="n">
        <f aca="false">C966+1</f>
        <v>244</v>
      </c>
      <c r="D970" s="0" t="n">
        <f aca="false">'Match Results'!C244</f>
        <v>0</v>
      </c>
      <c r="E970" s="13" t="str">
        <f aca="false">IF('Match Results'!F657&gt;'Match Results'!E657,"Win",IF('Match Results'!E656='Match Results'!F656,"Draw","Loss"))</f>
        <v>Draw</v>
      </c>
      <c r="F970" s="0" t="n">
        <f aca="false">IF(E970="Win",3,IF(E970="Draw",2,1))</f>
        <v>2</v>
      </c>
    </row>
    <row r="971" customFormat="false" ht="14.25" hidden="false" customHeight="false" outlineLevel="0" collapsed="false">
      <c r="A971" s="0" t="n">
        <f aca="false">'Match Results'!A244</f>
        <v>45960</v>
      </c>
      <c r="B971" s="27" t="n">
        <f aca="false">'Match Results'!B971</f>
        <v>0</v>
      </c>
      <c r="C971" s="13" t="n">
        <f aca="false">C967+1</f>
        <v>244</v>
      </c>
      <c r="D971" s="0" t="n">
        <f aca="false">'Match Results'!D244</f>
        <v>0</v>
      </c>
      <c r="E971" s="13" t="str">
        <f aca="false">IF('Match Results'!F658&gt;'Match Results'!E658,"Win",IF('Match Results'!E657='Match Results'!F657,"Draw","Loss"))</f>
        <v>Draw</v>
      </c>
      <c r="F971" s="0" t="n">
        <f aca="false">IF(E971="Win",3,IF(E971="Draw",2,1))</f>
        <v>2</v>
      </c>
    </row>
    <row r="972" customFormat="false" ht="14.25" hidden="false" customHeight="false" outlineLevel="0" collapsed="false">
      <c r="A972" s="0" t="n">
        <f aca="false">'Match Results'!A244</f>
        <v>45960</v>
      </c>
      <c r="B972" s="27" t="n">
        <f aca="false">'Match Results'!B972</f>
        <v>0</v>
      </c>
      <c r="C972" s="13" t="n">
        <f aca="false">C968+1</f>
        <v>244</v>
      </c>
      <c r="D972" s="0" t="n">
        <f aca="false">'Match Results'!G244</f>
        <v>0</v>
      </c>
      <c r="E972" s="13" t="str">
        <f aca="false">IF('Match Results'!F659&gt;'Match Results'!E659,"Win",IF('Match Results'!E658='Match Results'!F658,"Draw","Loss"))</f>
        <v>Draw</v>
      </c>
      <c r="F972" s="0" t="n">
        <f aca="false">IF(E972="Win",3,IF(E972="Draw",2,1))</f>
        <v>2</v>
      </c>
    </row>
    <row r="973" customFormat="false" ht="14.25" hidden="false" customHeight="false" outlineLevel="0" collapsed="false">
      <c r="A973" s="0" t="n">
        <f aca="false">'Match Results'!A244</f>
        <v>45960</v>
      </c>
      <c r="B973" s="27" t="n">
        <f aca="false">'Match Results'!B973</f>
        <v>0</v>
      </c>
      <c r="C973" s="13" t="n">
        <f aca="false">C969+1</f>
        <v>244</v>
      </c>
      <c r="D973" s="0" t="n">
        <f aca="false">'Match Results'!H244</f>
        <v>0</v>
      </c>
      <c r="E973" s="13" t="str">
        <f aca="false">IF('Match Results'!F660&gt;'Match Results'!E660,"Win",IF('Match Results'!E659='Match Results'!F659,"Draw","Loss"))</f>
        <v>Draw</v>
      </c>
      <c r="F973" s="0" t="n">
        <f aca="false">IF(E973="Win",3,IF(E973="Draw",2,1))</f>
        <v>2</v>
      </c>
    </row>
    <row r="974" customFormat="false" ht="14.25" hidden="false" customHeight="false" outlineLevel="0" collapsed="false">
      <c r="A974" s="0" t="n">
        <f aca="false">'Match Results'!A245</f>
        <v>45960</v>
      </c>
      <c r="B974" s="27" t="n">
        <f aca="false">'Match Results'!B974</f>
        <v>0</v>
      </c>
      <c r="C974" s="13" t="n">
        <f aca="false">C970+1</f>
        <v>245</v>
      </c>
      <c r="D974" s="0" t="n">
        <f aca="false">'Match Results'!C245</f>
        <v>0</v>
      </c>
      <c r="E974" s="13" t="str">
        <f aca="false">IF('Match Results'!F661&gt;'Match Results'!E661,"Win",IF('Match Results'!E660='Match Results'!F660,"Draw","Loss"))</f>
        <v>Draw</v>
      </c>
      <c r="F974" s="0" t="n">
        <f aca="false">IF(E974="Win",3,IF(E974="Draw",2,1))</f>
        <v>2</v>
      </c>
    </row>
    <row r="975" customFormat="false" ht="14.25" hidden="false" customHeight="false" outlineLevel="0" collapsed="false">
      <c r="A975" s="0" t="n">
        <f aca="false">'Match Results'!A245</f>
        <v>45960</v>
      </c>
      <c r="B975" s="27" t="n">
        <f aca="false">'Match Results'!B975</f>
        <v>0</v>
      </c>
      <c r="C975" s="13" t="n">
        <f aca="false">C971+1</f>
        <v>245</v>
      </c>
      <c r="D975" s="0" t="n">
        <f aca="false">'Match Results'!D245</f>
        <v>0</v>
      </c>
      <c r="E975" s="13" t="str">
        <f aca="false">IF('Match Results'!F662&gt;'Match Results'!E662,"Win",IF('Match Results'!E661='Match Results'!F661,"Draw","Loss"))</f>
        <v>Draw</v>
      </c>
      <c r="F975" s="0" t="n">
        <f aca="false">IF(E975="Win",3,IF(E975="Draw",2,1))</f>
        <v>2</v>
      </c>
    </row>
    <row r="976" customFormat="false" ht="14.25" hidden="false" customHeight="false" outlineLevel="0" collapsed="false">
      <c r="A976" s="0" t="n">
        <f aca="false">'Match Results'!A245</f>
        <v>45960</v>
      </c>
      <c r="B976" s="27" t="n">
        <f aca="false">'Match Results'!B976</f>
        <v>0</v>
      </c>
      <c r="C976" s="13" t="n">
        <f aca="false">C972+1</f>
        <v>245</v>
      </c>
      <c r="D976" s="0" t="n">
        <f aca="false">'Match Results'!G245</f>
        <v>0</v>
      </c>
      <c r="E976" s="13" t="str">
        <f aca="false">IF('Match Results'!F663&gt;'Match Results'!E663,"Win",IF('Match Results'!E662='Match Results'!F662,"Draw","Loss"))</f>
        <v>Draw</v>
      </c>
      <c r="F976" s="0" t="n">
        <f aca="false">IF(E976="Win",3,IF(E976="Draw",2,1))</f>
        <v>2</v>
      </c>
    </row>
    <row r="977" customFormat="false" ht="14.25" hidden="false" customHeight="false" outlineLevel="0" collapsed="false">
      <c r="A977" s="0" t="n">
        <f aca="false">'Match Results'!A245</f>
        <v>45960</v>
      </c>
      <c r="B977" s="27" t="n">
        <f aca="false">'Match Results'!B977</f>
        <v>0</v>
      </c>
      <c r="C977" s="13" t="n">
        <f aca="false">C973+1</f>
        <v>245</v>
      </c>
      <c r="D977" s="0" t="n">
        <f aca="false">'Match Results'!H245</f>
        <v>0</v>
      </c>
      <c r="E977" s="13" t="str">
        <f aca="false">IF('Match Results'!F664&gt;'Match Results'!E664,"Win",IF('Match Results'!E663='Match Results'!F663,"Draw","Loss"))</f>
        <v>Draw</v>
      </c>
      <c r="F977" s="0" t="n">
        <f aca="false">IF(E977="Win",3,IF(E977="Draw",2,1))</f>
        <v>2</v>
      </c>
    </row>
    <row r="978" customFormat="false" ht="14.25" hidden="false" customHeight="false" outlineLevel="0" collapsed="false">
      <c r="A978" s="0" t="n">
        <f aca="false">'Match Results'!A246</f>
        <v>45960</v>
      </c>
      <c r="B978" s="27" t="n">
        <f aca="false">'Match Results'!B978</f>
        <v>0</v>
      </c>
      <c r="C978" s="13" t="n">
        <f aca="false">C974+1</f>
        <v>246</v>
      </c>
      <c r="D978" s="0" t="n">
        <f aca="false">'Match Results'!C246</f>
        <v>0</v>
      </c>
      <c r="E978" s="13" t="str">
        <f aca="false">IF('Match Results'!F665&gt;'Match Results'!E665,"Win",IF('Match Results'!E664='Match Results'!F664,"Draw","Loss"))</f>
        <v>Draw</v>
      </c>
      <c r="F978" s="0" t="n">
        <f aca="false">IF(E978="Win",3,IF(E978="Draw",2,1))</f>
        <v>2</v>
      </c>
    </row>
    <row r="979" customFormat="false" ht="14.25" hidden="false" customHeight="false" outlineLevel="0" collapsed="false">
      <c r="A979" s="0" t="n">
        <f aca="false">'Match Results'!A246</f>
        <v>45960</v>
      </c>
      <c r="B979" s="27" t="n">
        <f aca="false">'Match Results'!B979</f>
        <v>0</v>
      </c>
      <c r="C979" s="13" t="n">
        <f aca="false">C975+1</f>
        <v>246</v>
      </c>
      <c r="D979" s="0" t="n">
        <f aca="false">'Match Results'!D246</f>
        <v>0</v>
      </c>
      <c r="E979" s="13" t="str">
        <f aca="false">IF('Match Results'!F666&gt;'Match Results'!E666,"Win",IF('Match Results'!E665='Match Results'!F665,"Draw","Loss"))</f>
        <v>Draw</v>
      </c>
      <c r="F979" s="0" t="n">
        <f aca="false">IF(E979="Win",3,IF(E979="Draw",2,1))</f>
        <v>2</v>
      </c>
    </row>
    <row r="980" customFormat="false" ht="14.25" hidden="false" customHeight="false" outlineLevel="0" collapsed="false">
      <c r="A980" s="0" t="n">
        <f aca="false">'Match Results'!A246</f>
        <v>45960</v>
      </c>
      <c r="B980" s="27" t="n">
        <f aca="false">'Match Results'!B980</f>
        <v>0</v>
      </c>
      <c r="C980" s="13" t="n">
        <f aca="false">C976+1</f>
        <v>246</v>
      </c>
      <c r="D980" s="0" t="n">
        <f aca="false">'Match Results'!G246</f>
        <v>0</v>
      </c>
      <c r="E980" s="13" t="str">
        <f aca="false">IF('Match Results'!F667&gt;'Match Results'!E667,"Win",IF('Match Results'!E666='Match Results'!F666,"Draw","Loss"))</f>
        <v>Draw</v>
      </c>
      <c r="F980" s="0" t="n">
        <f aca="false">IF(E980="Win",3,IF(E980="Draw",2,1))</f>
        <v>2</v>
      </c>
    </row>
    <row r="981" customFormat="false" ht="14.25" hidden="false" customHeight="false" outlineLevel="0" collapsed="false">
      <c r="A981" s="0" t="n">
        <f aca="false">'Match Results'!A246</f>
        <v>45960</v>
      </c>
      <c r="B981" s="27" t="n">
        <f aca="false">'Match Results'!B981</f>
        <v>0</v>
      </c>
      <c r="C981" s="13" t="n">
        <f aca="false">C977+1</f>
        <v>246</v>
      </c>
      <c r="D981" s="0" t="n">
        <f aca="false">'Match Results'!H246</f>
        <v>0</v>
      </c>
      <c r="E981" s="13" t="str">
        <f aca="false">IF('Match Results'!F668&gt;'Match Results'!E668,"Win",IF('Match Results'!E667='Match Results'!F667,"Draw","Loss"))</f>
        <v>Draw</v>
      </c>
      <c r="F981" s="0" t="n">
        <f aca="false">IF(E981="Win",3,IF(E981="Draw",2,1))</f>
        <v>2</v>
      </c>
    </row>
    <row r="982" customFormat="false" ht="14.25" hidden="false" customHeight="false" outlineLevel="0" collapsed="false">
      <c r="A982" s="0" t="n">
        <f aca="false">'Match Results'!A247</f>
        <v>45960</v>
      </c>
      <c r="B982" s="27" t="n">
        <f aca="false">'Match Results'!B982</f>
        <v>0</v>
      </c>
      <c r="C982" s="13" t="n">
        <f aca="false">C978+1</f>
        <v>247</v>
      </c>
      <c r="D982" s="0" t="n">
        <f aca="false">'Match Results'!C247</f>
        <v>0</v>
      </c>
      <c r="E982" s="13" t="str">
        <f aca="false">IF('Match Results'!F669&gt;'Match Results'!E669,"Win",IF('Match Results'!E668='Match Results'!F668,"Draw","Loss"))</f>
        <v>Draw</v>
      </c>
      <c r="F982" s="0" t="n">
        <f aca="false">IF(E982="Win",3,IF(E982="Draw",2,1))</f>
        <v>2</v>
      </c>
    </row>
    <row r="983" customFormat="false" ht="14.25" hidden="false" customHeight="false" outlineLevel="0" collapsed="false">
      <c r="A983" s="0" t="n">
        <f aca="false">'Match Results'!A247</f>
        <v>45960</v>
      </c>
      <c r="B983" s="27" t="n">
        <f aca="false">'Match Results'!B983</f>
        <v>0</v>
      </c>
      <c r="C983" s="13" t="n">
        <f aca="false">C979+1</f>
        <v>247</v>
      </c>
      <c r="D983" s="0" t="n">
        <f aca="false">'Match Results'!D247</f>
        <v>0</v>
      </c>
      <c r="E983" s="13" t="str">
        <f aca="false">IF('Match Results'!F670&gt;'Match Results'!E670,"Win",IF('Match Results'!E669='Match Results'!F669,"Draw","Loss"))</f>
        <v>Draw</v>
      </c>
      <c r="F983" s="0" t="n">
        <f aca="false">IF(E983="Win",3,IF(E983="Draw",2,1))</f>
        <v>2</v>
      </c>
    </row>
    <row r="984" customFormat="false" ht="14.25" hidden="false" customHeight="false" outlineLevel="0" collapsed="false">
      <c r="A984" s="0" t="n">
        <f aca="false">'Match Results'!A247</f>
        <v>45960</v>
      </c>
      <c r="B984" s="27" t="n">
        <f aca="false">'Match Results'!B984</f>
        <v>0</v>
      </c>
      <c r="C984" s="13" t="n">
        <f aca="false">C980+1</f>
        <v>247</v>
      </c>
      <c r="D984" s="0" t="n">
        <f aca="false">'Match Results'!G247</f>
        <v>0</v>
      </c>
      <c r="E984" s="13" t="str">
        <f aca="false">IF('Match Results'!F671&gt;'Match Results'!E671,"Win",IF('Match Results'!E670='Match Results'!F670,"Draw","Loss"))</f>
        <v>Draw</v>
      </c>
      <c r="F984" s="0" t="n">
        <f aca="false">IF(E984="Win",3,IF(E984="Draw",2,1))</f>
        <v>2</v>
      </c>
    </row>
    <row r="985" customFormat="false" ht="14.25" hidden="false" customHeight="false" outlineLevel="0" collapsed="false">
      <c r="A985" s="0" t="n">
        <f aca="false">'Match Results'!A247</f>
        <v>45960</v>
      </c>
      <c r="B985" s="27" t="n">
        <f aca="false">'Match Results'!B985</f>
        <v>0</v>
      </c>
      <c r="C985" s="13" t="n">
        <f aca="false">C981+1</f>
        <v>247</v>
      </c>
      <c r="D985" s="0" t="n">
        <f aca="false">'Match Results'!H247</f>
        <v>0</v>
      </c>
      <c r="E985" s="13" t="str">
        <f aca="false">IF('Match Results'!F672&gt;'Match Results'!E672,"Win",IF('Match Results'!E671='Match Results'!F671,"Draw","Loss"))</f>
        <v>Draw</v>
      </c>
      <c r="F985" s="0" t="n">
        <f aca="false">IF(E985="Win",3,IF(E985="Draw",2,1))</f>
        <v>2</v>
      </c>
    </row>
    <row r="986" customFormat="false" ht="14.25" hidden="false" customHeight="false" outlineLevel="0" collapsed="false">
      <c r="A986" s="0" t="n">
        <f aca="false">'Match Results'!A248</f>
        <v>45960</v>
      </c>
      <c r="B986" s="27" t="n">
        <f aca="false">'Match Results'!B986</f>
        <v>0</v>
      </c>
      <c r="C986" s="13" t="n">
        <f aca="false">C982+1</f>
        <v>248</v>
      </c>
      <c r="D986" s="0" t="n">
        <f aca="false">'Match Results'!C248</f>
        <v>0</v>
      </c>
      <c r="E986" s="13" t="str">
        <f aca="false">IF('Match Results'!F673&gt;'Match Results'!E673,"Win",IF('Match Results'!E672='Match Results'!F672,"Draw","Loss"))</f>
        <v>Draw</v>
      </c>
      <c r="F986" s="0" t="n">
        <f aca="false">IF(E986="Win",3,IF(E986="Draw",2,1))</f>
        <v>2</v>
      </c>
    </row>
    <row r="987" customFormat="false" ht="14.25" hidden="false" customHeight="false" outlineLevel="0" collapsed="false">
      <c r="A987" s="0" t="n">
        <f aca="false">'Match Results'!A248</f>
        <v>45960</v>
      </c>
      <c r="B987" s="27" t="n">
        <f aca="false">'Match Results'!B987</f>
        <v>0</v>
      </c>
      <c r="C987" s="13" t="n">
        <f aca="false">C983+1</f>
        <v>248</v>
      </c>
      <c r="D987" s="0" t="n">
        <f aca="false">'Match Results'!D248</f>
        <v>0</v>
      </c>
      <c r="E987" s="13" t="str">
        <f aca="false">IF('Match Results'!F674&gt;'Match Results'!E674,"Win",IF('Match Results'!E673='Match Results'!F673,"Draw","Loss"))</f>
        <v>Draw</v>
      </c>
      <c r="F987" s="0" t="n">
        <f aca="false">IF(E987="Win",3,IF(E987="Draw",2,1))</f>
        <v>2</v>
      </c>
    </row>
    <row r="988" customFormat="false" ht="14.25" hidden="false" customHeight="false" outlineLevel="0" collapsed="false">
      <c r="A988" s="0" t="n">
        <f aca="false">'Match Results'!A248</f>
        <v>45960</v>
      </c>
      <c r="B988" s="27" t="n">
        <f aca="false">'Match Results'!B988</f>
        <v>0</v>
      </c>
      <c r="C988" s="13" t="n">
        <f aca="false">C984+1</f>
        <v>248</v>
      </c>
      <c r="D988" s="0" t="n">
        <f aca="false">'Match Results'!G248</f>
        <v>0</v>
      </c>
      <c r="E988" s="13" t="str">
        <f aca="false">IF('Match Results'!F675&gt;'Match Results'!E675,"Win",IF('Match Results'!E674='Match Results'!F674,"Draw","Loss"))</f>
        <v>Draw</v>
      </c>
      <c r="F988" s="0" t="n">
        <f aca="false">IF(E988="Win",3,IF(E988="Draw",2,1))</f>
        <v>2</v>
      </c>
    </row>
    <row r="989" customFormat="false" ht="14.25" hidden="false" customHeight="false" outlineLevel="0" collapsed="false">
      <c r="A989" s="0" t="n">
        <f aca="false">'Match Results'!A248</f>
        <v>45960</v>
      </c>
      <c r="B989" s="27" t="n">
        <f aca="false">'Match Results'!B989</f>
        <v>0</v>
      </c>
      <c r="C989" s="13" t="n">
        <f aca="false">C985+1</f>
        <v>248</v>
      </c>
      <c r="D989" s="0" t="n">
        <f aca="false">'Match Results'!H248</f>
        <v>0</v>
      </c>
      <c r="E989" s="13" t="str">
        <f aca="false">IF('Match Results'!F676&gt;'Match Results'!E676,"Win",IF('Match Results'!E675='Match Results'!F675,"Draw","Loss"))</f>
        <v>Draw</v>
      </c>
      <c r="F989" s="0" t="n">
        <f aca="false">IF(E989="Win",3,IF(E989="Draw",2,1))</f>
        <v>2</v>
      </c>
    </row>
    <row r="990" customFormat="false" ht="14.25" hidden="false" customHeight="false" outlineLevel="0" collapsed="false">
      <c r="A990" s="0" t="n">
        <f aca="false">'Match Results'!A249</f>
        <v>45960</v>
      </c>
      <c r="B990" s="27" t="n">
        <f aca="false">'Match Results'!B990</f>
        <v>0</v>
      </c>
      <c r="C990" s="13" t="n">
        <f aca="false">C986+1</f>
        <v>249</v>
      </c>
      <c r="D990" s="0" t="n">
        <f aca="false">'Match Results'!C249</f>
        <v>0</v>
      </c>
      <c r="E990" s="13" t="str">
        <f aca="false">IF('Match Results'!F677&gt;'Match Results'!E677,"Win",IF('Match Results'!E676='Match Results'!F676,"Draw","Loss"))</f>
        <v>Draw</v>
      </c>
      <c r="F990" s="0" t="n">
        <f aca="false">IF(E990="Win",3,IF(E990="Draw",2,1))</f>
        <v>2</v>
      </c>
    </row>
    <row r="991" customFormat="false" ht="14.25" hidden="false" customHeight="false" outlineLevel="0" collapsed="false">
      <c r="A991" s="0" t="n">
        <f aca="false">'Match Results'!A249</f>
        <v>45960</v>
      </c>
      <c r="B991" s="27" t="n">
        <f aca="false">'Match Results'!B991</f>
        <v>0</v>
      </c>
      <c r="C991" s="13" t="n">
        <f aca="false">C987+1</f>
        <v>249</v>
      </c>
      <c r="D991" s="0" t="n">
        <f aca="false">'Match Results'!D249</f>
        <v>0</v>
      </c>
      <c r="E991" s="13" t="str">
        <f aca="false">IF('Match Results'!F678&gt;'Match Results'!E678,"Win",IF('Match Results'!E677='Match Results'!F677,"Draw","Loss"))</f>
        <v>Draw</v>
      </c>
      <c r="F991" s="0" t="n">
        <f aca="false">IF(E991="Win",3,IF(E991="Draw",2,1))</f>
        <v>2</v>
      </c>
    </row>
    <row r="992" customFormat="false" ht="14.25" hidden="false" customHeight="false" outlineLevel="0" collapsed="false">
      <c r="A992" s="0" t="n">
        <f aca="false">'Match Results'!A249</f>
        <v>45960</v>
      </c>
      <c r="B992" s="27" t="n">
        <f aca="false">'Match Results'!B992</f>
        <v>0</v>
      </c>
      <c r="C992" s="13" t="n">
        <f aca="false">C988+1</f>
        <v>249</v>
      </c>
      <c r="D992" s="0" t="n">
        <f aca="false">'Match Results'!G249</f>
        <v>0</v>
      </c>
      <c r="E992" s="13" t="str">
        <f aca="false">IF('Match Results'!F679&gt;'Match Results'!E679,"Win",IF('Match Results'!E678='Match Results'!F678,"Draw","Loss"))</f>
        <v>Draw</v>
      </c>
      <c r="F992" s="0" t="n">
        <f aca="false">IF(E992="Win",3,IF(E992="Draw",2,1))</f>
        <v>2</v>
      </c>
    </row>
    <row r="993" customFormat="false" ht="14.25" hidden="false" customHeight="false" outlineLevel="0" collapsed="false">
      <c r="A993" s="0" t="n">
        <f aca="false">'Match Results'!A249</f>
        <v>45960</v>
      </c>
      <c r="B993" s="27" t="n">
        <f aca="false">'Match Results'!B993</f>
        <v>0</v>
      </c>
      <c r="C993" s="13" t="n">
        <f aca="false">C989+1</f>
        <v>249</v>
      </c>
      <c r="D993" s="0" t="n">
        <f aca="false">'Match Results'!H249</f>
        <v>0</v>
      </c>
      <c r="E993" s="13" t="str">
        <f aca="false">IF('Match Results'!F680&gt;'Match Results'!E680,"Win",IF('Match Results'!E679='Match Results'!F679,"Draw","Loss"))</f>
        <v>Draw</v>
      </c>
      <c r="F993" s="0" t="n">
        <f aca="false">IF(E993="Win",3,IF(E993="Draw",2,1))</f>
        <v>2</v>
      </c>
    </row>
    <row r="994" customFormat="false" ht="14.25" hidden="false" customHeight="false" outlineLevel="0" collapsed="false">
      <c r="A994" s="0" t="n">
        <f aca="false">'Match Results'!A250</f>
        <v>45960</v>
      </c>
      <c r="B994" s="27" t="n">
        <f aca="false">'Match Results'!B994</f>
        <v>0</v>
      </c>
      <c r="C994" s="13" t="n">
        <f aca="false">C990+1</f>
        <v>250</v>
      </c>
      <c r="D994" s="0" t="n">
        <f aca="false">'Match Results'!C250</f>
        <v>0</v>
      </c>
      <c r="E994" s="13" t="str">
        <f aca="false">IF('Match Results'!F681&gt;'Match Results'!E681,"Win",IF('Match Results'!E680='Match Results'!F680,"Draw","Loss"))</f>
        <v>Draw</v>
      </c>
      <c r="F994" s="0" t="n">
        <f aca="false">IF(E994="Win",3,IF(E994="Draw",2,1))</f>
        <v>2</v>
      </c>
    </row>
    <row r="995" customFormat="false" ht="14.25" hidden="false" customHeight="false" outlineLevel="0" collapsed="false">
      <c r="A995" s="0" t="n">
        <f aca="false">'Match Results'!A250</f>
        <v>45960</v>
      </c>
      <c r="B995" s="27" t="n">
        <f aca="false">'Match Results'!B995</f>
        <v>0</v>
      </c>
      <c r="C995" s="13" t="n">
        <f aca="false">C991+1</f>
        <v>250</v>
      </c>
      <c r="D995" s="0" t="n">
        <f aca="false">'Match Results'!D250</f>
        <v>0</v>
      </c>
      <c r="E995" s="13" t="str">
        <f aca="false">IF('Match Results'!F682&gt;'Match Results'!E682,"Win",IF('Match Results'!E681='Match Results'!F681,"Draw","Loss"))</f>
        <v>Draw</v>
      </c>
      <c r="F995" s="0" t="n">
        <f aca="false">IF(E995="Win",3,IF(E995="Draw",2,1))</f>
        <v>2</v>
      </c>
    </row>
    <row r="996" customFormat="false" ht="14.25" hidden="false" customHeight="false" outlineLevel="0" collapsed="false">
      <c r="A996" s="0" t="n">
        <f aca="false">'Match Results'!A250</f>
        <v>45960</v>
      </c>
      <c r="B996" s="27" t="n">
        <f aca="false">'Match Results'!B996</f>
        <v>0</v>
      </c>
      <c r="C996" s="13" t="n">
        <f aca="false">C992+1</f>
        <v>250</v>
      </c>
      <c r="D996" s="0" t="n">
        <f aca="false">'Match Results'!G250</f>
        <v>0</v>
      </c>
      <c r="E996" s="13" t="str">
        <f aca="false">IF('Match Results'!F683&gt;'Match Results'!E683,"Win",IF('Match Results'!E682='Match Results'!F682,"Draw","Loss"))</f>
        <v>Draw</v>
      </c>
      <c r="F996" s="0" t="n">
        <f aca="false">IF(E996="Win",3,IF(E996="Draw",2,1))</f>
        <v>2</v>
      </c>
    </row>
    <row r="997" customFormat="false" ht="14.25" hidden="false" customHeight="false" outlineLevel="0" collapsed="false">
      <c r="A997" s="0" t="n">
        <f aca="false">'Match Results'!A250</f>
        <v>45960</v>
      </c>
      <c r="B997" s="27" t="n">
        <f aca="false">'Match Results'!B997</f>
        <v>0</v>
      </c>
      <c r="C997" s="13" t="n">
        <f aca="false">C993+1</f>
        <v>250</v>
      </c>
      <c r="D997" s="0" t="n">
        <f aca="false">'Match Results'!H250</f>
        <v>0</v>
      </c>
      <c r="E997" s="13" t="str">
        <f aca="false">IF('Match Results'!F684&gt;'Match Results'!E684,"Win",IF('Match Results'!E683='Match Results'!F683,"Draw","Loss"))</f>
        <v>Draw</v>
      </c>
      <c r="F997" s="0" t="n">
        <f aca="false">IF(E997="Win",3,IF(E997="Draw",2,1))</f>
        <v>2</v>
      </c>
    </row>
    <row r="998" customFormat="false" ht="14.25" hidden="false" customHeight="false" outlineLevel="0" collapsed="false">
      <c r="A998" s="0" t="n">
        <f aca="false">'Match Results'!A251</f>
        <v>45967</v>
      </c>
      <c r="B998" s="27" t="n">
        <f aca="false">'Match Results'!B998</f>
        <v>0</v>
      </c>
      <c r="C998" s="13" t="n">
        <f aca="false">C994+1</f>
        <v>251</v>
      </c>
      <c r="D998" s="0" t="n">
        <f aca="false">'Match Results'!C251</f>
        <v>0</v>
      </c>
      <c r="E998" s="13" t="str">
        <f aca="false">IF('Match Results'!F685&gt;'Match Results'!E685,"Win",IF('Match Results'!E684='Match Results'!F684,"Draw","Loss"))</f>
        <v>Draw</v>
      </c>
      <c r="F998" s="0" t="n">
        <f aca="false">IF(E998="Win",3,IF(E998="Draw",2,1))</f>
        <v>2</v>
      </c>
    </row>
    <row r="999" customFormat="false" ht="14.25" hidden="false" customHeight="false" outlineLevel="0" collapsed="false">
      <c r="A999" s="0" t="n">
        <f aca="false">'Match Results'!A251</f>
        <v>45967</v>
      </c>
      <c r="B999" s="27" t="n">
        <f aca="false">'Match Results'!B999</f>
        <v>0</v>
      </c>
      <c r="C999" s="13" t="n">
        <f aca="false">C995+1</f>
        <v>251</v>
      </c>
      <c r="D999" s="0" t="n">
        <f aca="false">'Match Results'!D251</f>
        <v>0</v>
      </c>
      <c r="E999" s="13" t="str">
        <f aca="false">IF('Match Results'!F686&gt;'Match Results'!E686,"Win",IF('Match Results'!E685='Match Results'!F685,"Draw","Loss"))</f>
        <v>Draw</v>
      </c>
      <c r="F999" s="0" t="n">
        <f aca="false">IF(E999="Win",3,IF(E999="Draw",2,1))</f>
        <v>2</v>
      </c>
    </row>
    <row r="1000" customFormat="false" ht="14.25" hidden="false" customHeight="false" outlineLevel="0" collapsed="false">
      <c r="A1000" s="0" t="n">
        <f aca="false">'Match Results'!A251</f>
        <v>45967</v>
      </c>
      <c r="B1000" s="27" t="n">
        <f aca="false">'Match Results'!B1000</f>
        <v>0</v>
      </c>
      <c r="C1000" s="13" t="n">
        <f aca="false">C996+1</f>
        <v>251</v>
      </c>
      <c r="D1000" s="0" t="n">
        <f aca="false">'Match Results'!G251</f>
        <v>0</v>
      </c>
      <c r="E1000" s="13" t="str">
        <f aca="false">IF('Match Results'!F687&gt;'Match Results'!E687,"Win",IF('Match Results'!E686='Match Results'!F686,"Draw","Loss"))</f>
        <v>Draw</v>
      </c>
      <c r="F1000" s="0" t="n">
        <f aca="false">IF(E1000="Win",3,IF(E1000="Draw",2,1))</f>
        <v>2</v>
      </c>
    </row>
    <row r="1001" customFormat="false" ht="14.25" hidden="false" customHeight="false" outlineLevel="0" collapsed="false">
      <c r="A1001" s="0" t="n">
        <f aca="false">'Match Results'!A251</f>
        <v>45967</v>
      </c>
      <c r="B1001" s="27" t="n">
        <f aca="false">'Match Results'!B1001</f>
        <v>0</v>
      </c>
      <c r="C1001" s="13" t="n">
        <f aca="false">C997+1</f>
        <v>251</v>
      </c>
      <c r="D1001" s="0" t="n">
        <f aca="false">'Match Results'!H251</f>
        <v>0</v>
      </c>
      <c r="E1001" s="13" t="str">
        <f aca="false">IF('Match Results'!F688&gt;'Match Results'!E688,"Win",IF('Match Results'!E687='Match Results'!F687,"Draw","Loss"))</f>
        <v>Draw</v>
      </c>
      <c r="F1001" s="0" t="n">
        <f aca="false">IF(E1001="Win",3,IF(E1001="Draw",2,1))</f>
        <v>2</v>
      </c>
    </row>
    <row r="1002" customFormat="false" ht="14.25" hidden="false" customHeight="false" outlineLevel="0" collapsed="false">
      <c r="A1002" s="0" t="n">
        <f aca="false">'Match Results'!A252</f>
        <v>45967</v>
      </c>
      <c r="B1002" s="27" t="n">
        <f aca="false">'Match Results'!B1002</f>
        <v>0</v>
      </c>
      <c r="C1002" s="13" t="n">
        <f aca="false">C998+1</f>
        <v>252</v>
      </c>
      <c r="D1002" s="0" t="n">
        <f aca="false">'Match Results'!C252</f>
        <v>0</v>
      </c>
      <c r="E1002" s="13" t="str">
        <f aca="false">IF('Match Results'!F689&gt;'Match Results'!E689,"Win",IF('Match Results'!E688='Match Results'!F688,"Draw","Loss"))</f>
        <v>Draw</v>
      </c>
      <c r="F1002" s="0" t="n">
        <f aca="false">IF(E1002="Win",3,IF(E1002="Draw",2,1))</f>
        <v>2</v>
      </c>
    </row>
    <row r="1003" customFormat="false" ht="14.25" hidden="false" customHeight="false" outlineLevel="0" collapsed="false">
      <c r="A1003" s="0" t="n">
        <f aca="false">'Match Results'!A252</f>
        <v>45967</v>
      </c>
      <c r="B1003" s="27" t="n">
        <f aca="false">'Match Results'!B1003</f>
        <v>0</v>
      </c>
      <c r="C1003" s="13" t="n">
        <f aca="false">C999+1</f>
        <v>252</v>
      </c>
      <c r="D1003" s="0" t="n">
        <f aca="false">'Match Results'!D252</f>
        <v>0</v>
      </c>
      <c r="E1003" s="13" t="str">
        <f aca="false">IF('Match Results'!F690&gt;'Match Results'!E690,"Win",IF('Match Results'!E689='Match Results'!F689,"Draw","Loss"))</f>
        <v>Draw</v>
      </c>
      <c r="F1003" s="0" t="n">
        <f aca="false">IF(E1003="Win",3,IF(E1003="Draw",2,1))</f>
        <v>2</v>
      </c>
    </row>
    <row r="1004" customFormat="false" ht="14.25" hidden="false" customHeight="false" outlineLevel="0" collapsed="false">
      <c r="A1004" s="0" t="n">
        <f aca="false">'Match Results'!A252</f>
        <v>45967</v>
      </c>
      <c r="B1004" s="27" t="n">
        <f aca="false">'Match Results'!B1004</f>
        <v>0</v>
      </c>
      <c r="C1004" s="13" t="n">
        <f aca="false">C1000+1</f>
        <v>252</v>
      </c>
      <c r="D1004" s="0" t="n">
        <f aca="false">'Match Results'!G252</f>
        <v>0</v>
      </c>
      <c r="E1004" s="13" t="str">
        <f aca="false">IF('Match Results'!F691&gt;'Match Results'!E691,"Win",IF('Match Results'!E690='Match Results'!F690,"Draw","Loss"))</f>
        <v>Draw</v>
      </c>
      <c r="F1004" s="0" t="n">
        <f aca="false">IF(E1004="Win",3,IF(E1004="Draw",2,1))</f>
        <v>2</v>
      </c>
    </row>
    <row r="1005" customFormat="false" ht="14.25" hidden="false" customHeight="false" outlineLevel="0" collapsed="false">
      <c r="A1005" s="0" t="n">
        <f aca="false">'Match Results'!A252</f>
        <v>45967</v>
      </c>
      <c r="B1005" s="27" t="n">
        <f aca="false">'Match Results'!B1005</f>
        <v>0</v>
      </c>
      <c r="C1005" s="13" t="n">
        <f aca="false">C1001+1</f>
        <v>252</v>
      </c>
      <c r="D1005" s="0" t="n">
        <f aca="false">'Match Results'!H252</f>
        <v>0</v>
      </c>
      <c r="E1005" s="13" t="str">
        <f aca="false">IF('Match Results'!F692&gt;'Match Results'!E692,"Win",IF('Match Results'!E691='Match Results'!F691,"Draw","Loss"))</f>
        <v>Draw</v>
      </c>
      <c r="F1005" s="0" t="n">
        <f aca="false">IF(E1005="Win",3,IF(E1005="Draw",2,1))</f>
        <v>2</v>
      </c>
    </row>
    <row r="1006" customFormat="false" ht="14.25" hidden="false" customHeight="false" outlineLevel="0" collapsed="false">
      <c r="A1006" s="0" t="n">
        <f aca="false">'Match Results'!A253</f>
        <v>45967</v>
      </c>
      <c r="B1006" s="27" t="n">
        <f aca="false">'Match Results'!B1006</f>
        <v>0</v>
      </c>
      <c r="C1006" s="13" t="n">
        <f aca="false">C1002+1</f>
        <v>253</v>
      </c>
      <c r="D1006" s="0" t="n">
        <f aca="false">'Match Results'!C253</f>
        <v>0</v>
      </c>
      <c r="E1006" s="13" t="str">
        <f aca="false">IF('Match Results'!F693&gt;'Match Results'!E693,"Win",IF('Match Results'!E692='Match Results'!F692,"Draw","Loss"))</f>
        <v>Draw</v>
      </c>
      <c r="F1006" s="0" t="n">
        <f aca="false">IF(E1006="Win",3,IF(E1006="Draw",2,1))</f>
        <v>2</v>
      </c>
    </row>
    <row r="1007" customFormat="false" ht="14.25" hidden="false" customHeight="false" outlineLevel="0" collapsed="false">
      <c r="A1007" s="0" t="n">
        <f aca="false">'Match Results'!A253</f>
        <v>45967</v>
      </c>
      <c r="B1007" s="27" t="n">
        <f aca="false">'Match Results'!B1007</f>
        <v>0</v>
      </c>
      <c r="C1007" s="13" t="n">
        <f aca="false">C1003+1</f>
        <v>253</v>
      </c>
      <c r="D1007" s="0" t="n">
        <f aca="false">'Match Results'!D253</f>
        <v>0</v>
      </c>
      <c r="E1007" s="13" t="str">
        <f aca="false">IF('Match Results'!F694&gt;'Match Results'!E694,"Win",IF('Match Results'!E693='Match Results'!F693,"Draw","Loss"))</f>
        <v>Draw</v>
      </c>
      <c r="F1007" s="0" t="n">
        <f aca="false">IF(E1007="Win",3,IF(E1007="Draw",2,1))</f>
        <v>2</v>
      </c>
    </row>
    <row r="1008" customFormat="false" ht="14.25" hidden="false" customHeight="false" outlineLevel="0" collapsed="false">
      <c r="A1008" s="0" t="n">
        <f aca="false">'Match Results'!A253</f>
        <v>45967</v>
      </c>
      <c r="B1008" s="27" t="n">
        <f aca="false">'Match Results'!B1008</f>
        <v>0</v>
      </c>
      <c r="C1008" s="13" t="n">
        <f aca="false">C1004+1</f>
        <v>253</v>
      </c>
      <c r="D1008" s="0" t="n">
        <f aca="false">'Match Results'!G253</f>
        <v>0</v>
      </c>
      <c r="E1008" s="13" t="str">
        <f aca="false">IF('Match Results'!F695&gt;'Match Results'!E695,"Win",IF('Match Results'!E694='Match Results'!F694,"Draw","Loss"))</f>
        <v>Draw</v>
      </c>
      <c r="F1008" s="0" t="n">
        <f aca="false">IF(E1008="Win",3,IF(E1008="Draw",2,1))</f>
        <v>2</v>
      </c>
    </row>
    <row r="1009" customFormat="false" ht="14.25" hidden="false" customHeight="false" outlineLevel="0" collapsed="false">
      <c r="A1009" s="0" t="n">
        <f aca="false">'Match Results'!A253</f>
        <v>45967</v>
      </c>
      <c r="B1009" s="27" t="n">
        <f aca="false">'Match Results'!B1009</f>
        <v>0</v>
      </c>
      <c r="C1009" s="13" t="n">
        <f aca="false">C1005+1</f>
        <v>253</v>
      </c>
      <c r="D1009" s="0" t="n">
        <f aca="false">'Match Results'!H253</f>
        <v>0</v>
      </c>
      <c r="E1009" s="13" t="str">
        <f aca="false">IF('Match Results'!F696&gt;'Match Results'!E696,"Win",IF('Match Results'!E695='Match Results'!F695,"Draw","Loss"))</f>
        <v>Draw</v>
      </c>
      <c r="F1009" s="0" t="n">
        <f aca="false">IF(E1009="Win",3,IF(E1009="Draw",2,1))</f>
        <v>2</v>
      </c>
    </row>
    <row r="1010" customFormat="false" ht="14.25" hidden="false" customHeight="false" outlineLevel="0" collapsed="false">
      <c r="A1010" s="0" t="n">
        <f aca="false">'Match Results'!A254</f>
        <v>45967</v>
      </c>
      <c r="B1010" s="27" t="n">
        <f aca="false">'Match Results'!B1010</f>
        <v>0</v>
      </c>
      <c r="C1010" s="13" t="n">
        <f aca="false">C1006+1</f>
        <v>254</v>
      </c>
      <c r="D1010" s="0" t="n">
        <f aca="false">'Match Results'!C254</f>
        <v>0</v>
      </c>
      <c r="E1010" s="13" t="str">
        <f aca="false">IF('Match Results'!F697&gt;'Match Results'!E697,"Win",IF('Match Results'!E696='Match Results'!F696,"Draw","Loss"))</f>
        <v>Draw</v>
      </c>
      <c r="F1010" s="0" t="n">
        <f aca="false">IF(E1010="Win",3,IF(E1010="Draw",2,1))</f>
        <v>2</v>
      </c>
    </row>
    <row r="1011" customFormat="false" ht="14.25" hidden="false" customHeight="false" outlineLevel="0" collapsed="false">
      <c r="A1011" s="0" t="n">
        <f aca="false">'Match Results'!A254</f>
        <v>45967</v>
      </c>
      <c r="B1011" s="27" t="n">
        <f aca="false">'Match Results'!B1011</f>
        <v>0</v>
      </c>
      <c r="C1011" s="13" t="n">
        <f aca="false">C1007+1</f>
        <v>254</v>
      </c>
      <c r="D1011" s="0" t="n">
        <f aca="false">'Match Results'!D254</f>
        <v>0</v>
      </c>
      <c r="E1011" s="13" t="str">
        <f aca="false">IF('Match Results'!F698&gt;'Match Results'!E698,"Win",IF('Match Results'!E697='Match Results'!F697,"Draw","Loss"))</f>
        <v>Draw</v>
      </c>
      <c r="F1011" s="0" t="n">
        <f aca="false">IF(E1011="Win",3,IF(E1011="Draw",2,1))</f>
        <v>2</v>
      </c>
    </row>
    <row r="1012" customFormat="false" ht="14.25" hidden="false" customHeight="false" outlineLevel="0" collapsed="false">
      <c r="A1012" s="0" t="n">
        <f aca="false">'Match Results'!A254</f>
        <v>45967</v>
      </c>
      <c r="B1012" s="27" t="n">
        <f aca="false">'Match Results'!B1012</f>
        <v>0</v>
      </c>
      <c r="C1012" s="13" t="n">
        <f aca="false">C1008+1</f>
        <v>254</v>
      </c>
      <c r="D1012" s="0" t="n">
        <f aca="false">'Match Results'!G254</f>
        <v>0</v>
      </c>
      <c r="E1012" s="13" t="str">
        <f aca="false">IF('Match Results'!F699&gt;'Match Results'!E699,"Win",IF('Match Results'!E698='Match Results'!F698,"Draw","Loss"))</f>
        <v>Draw</v>
      </c>
      <c r="F1012" s="0" t="n">
        <f aca="false">IF(E1012="Win",3,IF(E1012="Draw",2,1))</f>
        <v>2</v>
      </c>
    </row>
    <row r="1013" customFormat="false" ht="14.25" hidden="false" customHeight="false" outlineLevel="0" collapsed="false">
      <c r="A1013" s="0" t="n">
        <f aca="false">'Match Results'!A254</f>
        <v>45967</v>
      </c>
      <c r="B1013" s="27" t="n">
        <f aca="false">'Match Results'!B1013</f>
        <v>0</v>
      </c>
      <c r="C1013" s="13" t="n">
        <f aca="false">C1009+1</f>
        <v>254</v>
      </c>
      <c r="D1013" s="0" t="n">
        <f aca="false">'Match Results'!H254</f>
        <v>0</v>
      </c>
      <c r="E1013" s="13" t="str">
        <f aca="false">IF('Match Results'!F700&gt;'Match Results'!E700,"Win",IF('Match Results'!E699='Match Results'!F699,"Draw","Loss"))</f>
        <v>Draw</v>
      </c>
      <c r="F1013" s="0" t="n">
        <f aca="false">IF(E1013="Win",3,IF(E1013="Draw",2,1))</f>
        <v>2</v>
      </c>
    </row>
    <row r="1014" customFormat="false" ht="14.25" hidden="false" customHeight="false" outlineLevel="0" collapsed="false">
      <c r="A1014" s="0" t="n">
        <f aca="false">'Match Results'!A255</f>
        <v>45967</v>
      </c>
      <c r="B1014" s="27" t="n">
        <f aca="false">'Match Results'!B1014</f>
        <v>0</v>
      </c>
      <c r="C1014" s="13" t="n">
        <f aca="false">C1010+1</f>
        <v>255</v>
      </c>
      <c r="D1014" s="0" t="n">
        <f aca="false">'Match Results'!C255</f>
        <v>0</v>
      </c>
      <c r="E1014" s="13" t="str">
        <f aca="false">IF('Match Results'!F701&gt;'Match Results'!E701,"Win",IF('Match Results'!E700='Match Results'!F700,"Draw","Loss"))</f>
        <v>Draw</v>
      </c>
      <c r="F1014" s="0" t="n">
        <f aca="false">IF(E1014="Win",3,IF(E1014="Draw",2,1))</f>
        <v>2</v>
      </c>
    </row>
    <row r="1015" customFormat="false" ht="14.25" hidden="false" customHeight="false" outlineLevel="0" collapsed="false">
      <c r="A1015" s="0" t="n">
        <f aca="false">'Match Results'!A255</f>
        <v>45967</v>
      </c>
      <c r="B1015" s="27" t="n">
        <f aca="false">'Match Results'!B1015</f>
        <v>0</v>
      </c>
      <c r="C1015" s="13" t="n">
        <f aca="false">C1011+1</f>
        <v>255</v>
      </c>
      <c r="D1015" s="0" t="n">
        <f aca="false">'Match Results'!D255</f>
        <v>0</v>
      </c>
      <c r="E1015" s="13" t="str">
        <f aca="false">IF('Match Results'!F702&gt;'Match Results'!E702,"Win",IF('Match Results'!E701='Match Results'!F701,"Draw","Loss"))</f>
        <v>Draw</v>
      </c>
      <c r="F1015" s="0" t="n">
        <f aca="false">IF(E1015="Win",3,IF(E1015="Draw",2,1))</f>
        <v>2</v>
      </c>
    </row>
    <row r="1016" customFormat="false" ht="14.25" hidden="false" customHeight="false" outlineLevel="0" collapsed="false">
      <c r="A1016" s="0" t="n">
        <f aca="false">'Match Results'!A255</f>
        <v>45967</v>
      </c>
      <c r="B1016" s="27" t="n">
        <f aca="false">'Match Results'!B1016</f>
        <v>0</v>
      </c>
      <c r="C1016" s="13" t="n">
        <f aca="false">C1012+1</f>
        <v>255</v>
      </c>
      <c r="D1016" s="0" t="n">
        <f aca="false">'Match Results'!G255</f>
        <v>0</v>
      </c>
      <c r="E1016" s="13" t="str">
        <f aca="false">IF('Match Results'!F703&gt;'Match Results'!E703,"Win",IF('Match Results'!E702='Match Results'!F702,"Draw","Loss"))</f>
        <v>Draw</v>
      </c>
      <c r="F1016" s="0" t="n">
        <f aca="false">IF(E1016="Win",3,IF(E1016="Draw",2,1))</f>
        <v>2</v>
      </c>
    </row>
    <row r="1017" customFormat="false" ht="14.25" hidden="false" customHeight="false" outlineLevel="0" collapsed="false">
      <c r="A1017" s="0" t="n">
        <f aca="false">'Match Results'!A255</f>
        <v>45967</v>
      </c>
      <c r="B1017" s="27" t="n">
        <f aca="false">'Match Results'!B1017</f>
        <v>0</v>
      </c>
      <c r="C1017" s="13" t="n">
        <f aca="false">C1013+1</f>
        <v>255</v>
      </c>
      <c r="D1017" s="0" t="n">
        <f aca="false">'Match Results'!H255</f>
        <v>0</v>
      </c>
      <c r="E1017" s="13" t="str">
        <f aca="false">IF('Match Results'!F704&gt;'Match Results'!E704,"Win",IF('Match Results'!E703='Match Results'!F703,"Draw","Loss"))</f>
        <v>Draw</v>
      </c>
      <c r="F1017" s="0" t="n">
        <f aca="false">IF(E1017="Win",3,IF(E1017="Draw",2,1))</f>
        <v>2</v>
      </c>
    </row>
    <row r="1018" customFormat="false" ht="14.25" hidden="false" customHeight="false" outlineLevel="0" collapsed="false">
      <c r="A1018" s="0" t="n">
        <f aca="false">'Match Results'!A256</f>
        <v>45967</v>
      </c>
      <c r="B1018" s="27" t="n">
        <f aca="false">'Match Results'!B1018</f>
        <v>0</v>
      </c>
      <c r="C1018" s="13" t="n">
        <f aca="false">C1014+1</f>
        <v>256</v>
      </c>
      <c r="D1018" s="0" t="n">
        <f aca="false">'Match Results'!C256</f>
        <v>0</v>
      </c>
      <c r="E1018" s="13" t="str">
        <f aca="false">IF('Match Results'!F705&gt;'Match Results'!E705,"Win",IF('Match Results'!E704='Match Results'!F704,"Draw","Loss"))</f>
        <v>Draw</v>
      </c>
      <c r="F1018" s="0" t="n">
        <f aca="false">IF(E1018="Win",3,IF(E1018="Draw",2,1))</f>
        <v>2</v>
      </c>
    </row>
    <row r="1019" customFormat="false" ht="14.25" hidden="false" customHeight="false" outlineLevel="0" collapsed="false">
      <c r="A1019" s="0" t="n">
        <f aca="false">'Match Results'!A256</f>
        <v>45967</v>
      </c>
      <c r="B1019" s="27" t="n">
        <f aca="false">'Match Results'!B1019</f>
        <v>0</v>
      </c>
      <c r="C1019" s="13" t="n">
        <f aca="false">C1015+1</f>
        <v>256</v>
      </c>
      <c r="D1019" s="0" t="n">
        <f aca="false">'Match Results'!D256</f>
        <v>0</v>
      </c>
      <c r="E1019" s="13" t="str">
        <f aca="false">IF('Match Results'!F706&gt;'Match Results'!E706,"Win",IF('Match Results'!E705='Match Results'!F705,"Draw","Loss"))</f>
        <v>Draw</v>
      </c>
      <c r="F1019" s="0" t="n">
        <f aca="false">IF(E1019="Win",3,IF(E1019="Draw",2,1))</f>
        <v>2</v>
      </c>
    </row>
    <row r="1020" customFormat="false" ht="14.25" hidden="false" customHeight="false" outlineLevel="0" collapsed="false">
      <c r="A1020" s="0" t="n">
        <f aca="false">'Match Results'!A256</f>
        <v>45967</v>
      </c>
      <c r="B1020" s="27" t="n">
        <f aca="false">'Match Results'!B1020</f>
        <v>0</v>
      </c>
      <c r="C1020" s="13" t="n">
        <f aca="false">C1016+1</f>
        <v>256</v>
      </c>
      <c r="D1020" s="0" t="n">
        <f aca="false">'Match Results'!G256</f>
        <v>0</v>
      </c>
      <c r="E1020" s="13" t="str">
        <f aca="false">IF('Match Results'!F707&gt;'Match Results'!E707,"Win",IF('Match Results'!E706='Match Results'!F706,"Draw","Loss"))</f>
        <v>Draw</v>
      </c>
      <c r="F1020" s="0" t="n">
        <f aca="false">IF(E1020="Win",3,IF(E1020="Draw",2,1))</f>
        <v>2</v>
      </c>
    </row>
    <row r="1021" customFormat="false" ht="14.25" hidden="false" customHeight="false" outlineLevel="0" collapsed="false">
      <c r="A1021" s="0" t="n">
        <f aca="false">'Match Results'!A256</f>
        <v>45967</v>
      </c>
      <c r="B1021" s="27" t="n">
        <f aca="false">'Match Results'!B1021</f>
        <v>0</v>
      </c>
      <c r="C1021" s="13" t="n">
        <f aca="false">C1017+1</f>
        <v>256</v>
      </c>
      <c r="D1021" s="0" t="n">
        <f aca="false">'Match Results'!H256</f>
        <v>0</v>
      </c>
      <c r="E1021" s="13" t="str">
        <f aca="false">IF('Match Results'!F708&gt;'Match Results'!E708,"Win",IF('Match Results'!E707='Match Results'!F707,"Draw","Loss"))</f>
        <v>Draw</v>
      </c>
      <c r="F1021" s="0" t="n">
        <f aca="false">IF(E1021="Win",3,IF(E1021="Draw",2,1))</f>
        <v>2</v>
      </c>
    </row>
    <row r="1022" customFormat="false" ht="14.25" hidden="false" customHeight="false" outlineLevel="0" collapsed="false">
      <c r="A1022" s="0" t="n">
        <f aca="false">'Match Results'!A257</f>
        <v>45967</v>
      </c>
      <c r="B1022" s="27" t="n">
        <f aca="false">'Match Results'!B1022</f>
        <v>0</v>
      </c>
      <c r="C1022" s="13" t="n">
        <f aca="false">C1018+1</f>
        <v>257</v>
      </c>
      <c r="D1022" s="0" t="n">
        <f aca="false">'Match Results'!C257</f>
        <v>0</v>
      </c>
      <c r="E1022" s="13" t="str">
        <f aca="false">IF('Match Results'!F709&gt;'Match Results'!E709,"Win",IF('Match Results'!E708='Match Results'!F708,"Draw","Loss"))</f>
        <v>Draw</v>
      </c>
      <c r="F1022" s="0" t="n">
        <f aca="false">IF(E1022="Win",3,IF(E1022="Draw",2,1))</f>
        <v>2</v>
      </c>
    </row>
    <row r="1023" customFormat="false" ht="14.25" hidden="false" customHeight="false" outlineLevel="0" collapsed="false">
      <c r="A1023" s="0" t="n">
        <f aca="false">'Match Results'!A257</f>
        <v>45967</v>
      </c>
      <c r="B1023" s="27" t="n">
        <f aca="false">'Match Results'!B1023</f>
        <v>0</v>
      </c>
      <c r="C1023" s="13" t="n">
        <f aca="false">C1019+1</f>
        <v>257</v>
      </c>
      <c r="D1023" s="0" t="n">
        <f aca="false">'Match Results'!D257</f>
        <v>0</v>
      </c>
      <c r="E1023" s="13" t="str">
        <f aca="false">IF('Match Results'!F710&gt;'Match Results'!E710,"Win",IF('Match Results'!E709='Match Results'!F709,"Draw","Loss"))</f>
        <v>Draw</v>
      </c>
      <c r="F1023" s="0" t="n">
        <f aca="false">IF(E1023="Win",3,IF(E1023="Draw",2,1))</f>
        <v>2</v>
      </c>
    </row>
    <row r="1024" customFormat="false" ht="14.25" hidden="false" customHeight="false" outlineLevel="0" collapsed="false">
      <c r="A1024" s="0" t="n">
        <f aca="false">'Match Results'!A257</f>
        <v>45967</v>
      </c>
      <c r="B1024" s="27" t="n">
        <f aca="false">'Match Results'!B1024</f>
        <v>0</v>
      </c>
      <c r="C1024" s="13" t="n">
        <f aca="false">C1020+1</f>
        <v>257</v>
      </c>
      <c r="D1024" s="0" t="n">
        <f aca="false">'Match Results'!G257</f>
        <v>0</v>
      </c>
      <c r="E1024" s="13" t="str">
        <f aca="false">IF('Match Results'!F711&gt;'Match Results'!E711,"Win",IF('Match Results'!E710='Match Results'!F710,"Draw","Loss"))</f>
        <v>Draw</v>
      </c>
      <c r="F1024" s="0" t="n">
        <f aca="false">IF(E1024="Win",3,IF(E1024="Draw",2,1))</f>
        <v>2</v>
      </c>
    </row>
    <row r="1025" customFormat="false" ht="14.25" hidden="false" customHeight="false" outlineLevel="0" collapsed="false">
      <c r="A1025" s="0" t="n">
        <f aca="false">'Match Results'!A257</f>
        <v>45967</v>
      </c>
      <c r="B1025" s="27" t="n">
        <f aca="false">'Match Results'!B1025</f>
        <v>0</v>
      </c>
      <c r="C1025" s="13" t="n">
        <f aca="false">C1021+1</f>
        <v>257</v>
      </c>
      <c r="D1025" s="0" t="n">
        <f aca="false">'Match Results'!H257</f>
        <v>0</v>
      </c>
      <c r="E1025" s="13" t="str">
        <f aca="false">IF('Match Results'!F712&gt;'Match Results'!E712,"Win",IF('Match Results'!E711='Match Results'!F711,"Draw","Loss"))</f>
        <v>Draw</v>
      </c>
      <c r="F1025" s="0" t="n">
        <f aca="false">IF(E1025="Win",3,IF(E1025="Draw",2,1))</f>
        <v>2</v>
      </c>
    </row>
    <row r="1026" customFormat="false" ht="14.25" hidden="false" customHeight="false" outlineLevel="0" collapsed="false">
      <c r="A1026" s="0" t="n">
        <f aca="false">'Match Results'!A258</f>
        <v>45967</v>
      </c>
      <c r="B1026" s="27" t="n">
        <f aca="false">'Match Results'!B1026</f>
        <v>0</v>
      </c>
      <c r="C1026" s="13" t="n">
        <f aca="false">C1022+1</f>
        <v>258</v>
      </c>
      <c r="D1026" s="0" t="n">
        <f aca="false">'Match Results'!C258</f>
        <v>0</v>
      </c>
      <c r="E1026" s="13" t="str">
        <f aca="false">IF('Match Results'!F713&gt;'Match Results'!E713,"Win",IF('Match Results'!E712='Match Results'!F712,"Draw","Loss"))</f>
        <v>Draw</v>
      </c>
      <c r="F1026" s="0" t="n">
        <f aca="false">IF(E1026="Win",3,IF(E1026="Draw",2,1))</f>
        <v>2</v>
      </c>
    </row>
    <row r="1027" customFormat="false" ht="14.25" hidden="false" customHeight="false" outlineLevel="0" collapsed="false">
      <c r="A1027" s="0" t="n">
        <f aca="false">'Match Results'!A258</f>
        <v>45967</v>
      </c>
      <c r="B1027" s="27" t="n">
        <f aca="false">'Match Results'!B1027</f>
        <v>0</v>
      </c>
      <c r="C1027" s="13" t="n">
        <f aca="false">C1023+1</f>
        <v>258</v>
      </c>
      <c r="D1027" s="0" t="n">
        <f aca="false">'Match Results'!D258</f>
        <v>0</v>
      </c>
      <c r="E1027" s="13" t="str">
        <f aca="false">IF('Match Results'!F714&gt;'Match Results'!E714,"Win",IF('Match Results'!E713='Match Results'!F713,"Draw","Loss"))</f>
        <v>Draw</v>
      </c>
      <c r="F1027" s="0" t="n">
        <f aca="false">IF(E1027="Win",3,IF(E1027="Draw",2,1))</f>
        <v>2</v>
      </c>
    </row>
    <row r="1028" customFormat="false" ht="14.25" hidden="false" customHeight="false" outlineLevel="0" collapsed="false">
      <c r="A1028" s="0" t="n">
        <f aca="false">'Match Results'!A258</f>
        <v>45967</v>
      </c>
      <c r="B1028" s="27" t="n">
        <f aca="false">'Match Results'!B1028</f>
        <v>0</v>
      </c>
      <c r="C1028" s="13" t="n">
        <f aca="false">C1024+1</f>
        <v>258</v>
      </c>
      <c r="D1028" s="0" t="n">
        <f aca="false">'Match Results'!G258</f>
        <v>0</v>
      </c>
      <c r="E1028" s="13" t="str">
        <f aca="false">IF('Match Results'!F715&gt;'Match Results'!E715,"Win",IF('Match Results'!E714='Match Results'!F714,"Draw","Loss"))</f>
        <v>Draw</v>
      </c>
      <c r="F1028" s="0" t="n">
        <f aca="false">IF(E1028="Win",3,IF(E1028="Draw",2,1))</f>
        <v>2</v>
      </c>
    </row>
    <row r="1029" customFormat="false" ht="14.25" hidden="false" customHeight="false" outlineLevel="0" collapsed="false">
      <c r="A1029" s="0" t="n">
        <f aca="false">'Match Results'!A258</f>
        <v>45967</v>
      </c>
      <c r="B1029" s="27" t="n">
        <f aca="false">'Match Results'!B1029</f>
        <v>0</v>
      </c>
      <c r="C1029" s="13" t="n">
        <f aca="false">C1025+1</f>
        <v>258</v>
      </c>
      <c r="D1029" s="0" t="n">
        <f aca="false">'Match Results'!H258</f>
        <v>0</v>
      </c>
      <c r="E1029" s="13" t="str">
        <f aca="false">IF('Match Results'!F716&gt;'Match Results'!E716,"Win",IF('Match Results'!E715='Match Results'!F715,"Draw","Loss"))</f>
        <v>Draw</v>
      </c>
      <c r="F1029" s="0" t="n">
        <f aca="false">IF(E1029="Win",3,IF(E1029="Draw",2,1))</f>
        <v>2</v>
      </c>
    </row>
    <row r="1030" customFormat="false" ht="14.25" hidden="false" customHeight="false" outlineLevel="0" collapsed="false">
      <c r="A1030" s="0" t="n">
        <f aca="false">'Match Results'!A259</f>
        <v>45967</v>
      </c>
      <c r="B1030" s="27" t="n">
        <f aca="false">'Match Results'!B1030</f>
        <v>0</v>
      </c>
      <c r="C1030" s="13" t="n">
        <f aca="false">C1026+1</f>
        <v>259</v>
      </c>
      <c r="D1030" s="0" t="n">
        <f aca="false">'Match Results'!C259</f>
        <v>0</v>
      </c>
      <c r="E1030" s="13" t="str">
        <f aca="false">IF('Match Results'!F717&gt;'Match Results'!E717,"Win",IF('Match Results'!E716='Match Results'!F716,"Draw","Loss"))</f>
        <v>Draw</v>
      </c>
      <c r="F1030" s="0" t="n">
        <f aca="false">IF(E1030="Win",3,IF(E1030="Draw",2,1))</f>
        <v>2</v>
      </c>
    </row>
    <row r="1031" customFormat="false" ht="14.25" hidden="false" customHeight="false" outlineLevel="0" collapsed="false">
      <c r="A1031" s="0" t="n">
        <f aca="false">'Match Results'!A259</f>
        <v>45967</v>
      </c>
      <c r="B1031" s="27" t="n">
        <f aca="false">'Match Results'!B1031</f>
        <v>0</v>
      </c>
      <c r="C1031" s="13" t="n">
        <f aca="false">C1027+1</f>
        <v>259</v>
      </c>
      <c r="D1031" s="0" t="n">
        <f aca="false">'Match Results'!D259</f>
        <v>0</v>
      </c>
      <c r="E1031" s="13" t="str">
        <f aca="false">IF('Match Results'!F718&gt;'Match Results'!E718,"Win",IF('Match Results'!E717='Match Results'!F717,"Draw","Loss"))</f>
        <v>Draw</v>
      </c>
      <c r="F1031" s="0" t="n">
        <f aca="false">IF(E1031="Win",3,IF(E1031="Draw",2,1))</f>
        <v>2</v>
      </c>
    </row>
    <row r="1032" customFormat="false" ht="14.25" hidden="false" customHeight="false" outlineLevel="0" collapsed="false">
      <c r="A1032" s="0" t="n">
        <f aca="false">'Match Results'!A259</f>
        <v>45967</v>
      </c>
      <c r="B1032" s="27" t="n">
        <f aca="false">'Match Results'!B1032</f>
        <v>0</v>
      </c>
      <c r="C1032" s="13" t="n">
        <f aca="false">C1028+1</f>
        <v>259</v>
      </c>
      <c r="D1032" s="0" t="n">
        <f aca="false">'Match Results'!G259</f>
        <v>0</v>
      </c>
      <c r="E1032" s="13" t="str">
        <f aca="false">IF('Match Results'!F719&gt;'Match Results'!E719,"Win",IF('Match Results'!E718='Match Results'!F718,"Draw","Loss"))</f>
        <v>Draw</v>
      </c>
      <c r="F1032" s="0" t="n">
        <f aca="false">IF(E1032="Win",3,IF(E1032="Draw",2,1))</f>
        <v>2</v>
      </c>
    </row>
    <row r="1033" customFormat="false" ht="14.25" hidden="false" customHeight="false" outlineLevel="0" collapsed="false">
      <c r="A1033" s="0" t="n">
        <f aca="false">'Match Results'!A259</f>
        <v>45967</v>
      </c>
      <c r="B1033" s="27" t="n">
        <f aca="false">'Match Results'!B1033</f>
        <v>0</v>
      </c>
      <c r="C1033" s="13" t="n">
        <f aca="false">C1029+1</f>
        <v>259</v>
      </c>
      <c r="D1033" s="0" t="n">
        <f aca="false">'Match Results'!H259</f>
        <v>0</v>
      </c>
      <c r="E1033" s="13" t="str">
        <f aca="false">IF('Match Results'!F720&gt;'Match Results'!E720,"Win",IF('Match Results'!E719='Match Results'!F719,"Draw","Loss"))</f>
        <v>Draw</v>
      </c>
      <c r="F1033" s="0" t="n">
        <f aca="false">IF(E1033="Win",3,IF(E1033="Draw",2,1))</f>
        <v>2</v>
      </c>
    </row>
    <row r="1034" customFormat="false" ht="14.25" hidden="false" customHeight="false" outlineLevel="0" collapsed="false">
      <c r="A1034" s="0" t="n">
        <f aca="false">'Match Results'!A260</f>
        <v>45967</v>
      </c>
      <c r="B1034" s="27" t="n">
        <f aca="false">'Match Results'!B1034</f>
        <v>0</v>
      </c>
      <c r="C1034" s="13" t="n">
        <f aca="false">C1030+1</f>
        <v>260</v>
      </c>
      <c r="D1034" s="0" t="n">
        <f aca="false">'Match Results'!C260</f>
        <v>0</v>
      </c>
      <c r="E1034" s="13" t="str">
        <f aca="false">IF('Match Results'!F721&gt;'Match Results'!E721,"Win",IF('Match Results'!E720='Match Results'!F720,"Draw","Loss"))</f>
        <v>Draw</v>
      </c>
      <c r="F1034" s="0" t="n">
        <f aca="false">IF(E1034="Win",3,IF(E1034="Draw",2,1))</f>
        <v>2</v>
      </c>
    </row>
    <row r="1035" customFormat="false" ht="14.25" hidden="false" customHeight="false" outlineLevel="0" collapsed="false">
      <c r="A1035" s="0" t="n">
        <f aca="false">'Match Results'!A260</f>
        <v>45967</v>
      </c>
      <c r="B1035" s="27" t="n">
        <f aca="false">'Match Results'!B1035</f>
        <v>0</v>
      </c>
      <c r="C1035" s="13" t="n">
        <f aca="false">C1031+1</f>
        <v>260</v>
      </c>
      <c r="D1035" s="0" t="n">
        <f aca="false">'Match Results'!D260</f>
        <v>0</v>
      </c>
      <c r="E1035" s="13" t="str">
        <f aca="false">IF('Match Results'!F722&gt;'Match Results'!E722,"Win",IF('Match Results'!E721='Match Results'!F721,"Draw","Loss"))</f>
        <v>Draw</v>
      </c>
      <c r="F1035" s="0" t="n">
        <f aca="false">IF(E1035="Win",3,IF(E1035="Draw",2,1))</f>
        <v>2</v>
      </c>
    </row>
    <row r="1036" customFormat="false" ht="14.25" hidden="false" customHeight="false" outlineLevel="0" collapsed="false">
      <c r="A1036" s="0" t="n">
        <f aca="false">'Match Results'!A260</f>
        <v>45967</v>
      </c>
      <c r="B1036" s="27" t="n">
        <f aca="false">'Match Results'!B1036</f>
        <v>0</v>
      </c>
      <c r="C1036" s="13" t="n">
        <f aca="false">C1032+1</f>
        <v>260</v>
      </c>
      <c r="D1036" s="0" t="n">
        <f aca="false">'Match Results'!G260</f>
        <v>0</v>
      </c>
      <c r="E1036" s="13" t="str">
        <f aca="false">IF('Match Results'!F723&gt;'Match Results'!E723,"Win",IF('Match Results'!E722='Match Results'!F722,"Draw","Loss"))</f>
        <v>Draw</v>
      </c>
      <c r="F1036" s="0" t="n">
        <f aca="false">IF(E1036="Win",3,IF(E1036="Draw",2,1))</f>
        <v>2</v>
      </c>
    </row>
    <row r="1037" customFormat="false" ht="14.25" hidden="false" customHeight="false" outlineLevel="0" collapsed="false">
      <c r="A1037" s="0" t="n">
        <f aca="false">'Match Results'!A260</f>
        <v>45967</v>
      </c>
      <c r="B1037" s="27" t="n">
        <f aca="false">'Match Results'!B1037</f>
        <v>0</v>
      </c>
      <c r="C1037" s="13" t="n">
        <f aca="false">C1033+1</f>
        <v>260</v>
      </c>
      <c r="D1037" s="0" t="n">
        <f aca="false">'Match Results'!H260</f>
        <v>0</v>
      </c>
      <c r="E1037" s="13" t="str">
        <f aca="false">IF('Match Results'!F724&gt;'Match Results'!E724,"Win",IF('Match Results'!E723='Match Results'!F723,"Draw","Loss"))</f>
        <v>Draw</v>
      </c>
      <c r="F1037" s="0" t="n">
        <f aca="false">IF(E1037="Win",3,IF(E1037="Draw",2,1))</f>
        <v>2</v>
      </c>
    </row>
    <row r="1038" customFormat="false" ht="14.25" hidden="false" customHeight="false" outlineLevel="0" collapsed="false">
      <c r="A1038" s="0" t="n">
        <f aca="false">'Match Results'!A261</f>
        <v>45967</v>
      </c>
      <c r="B1038" s="27" t="n">
        <f aca="false">'Match Results'!B1038</f>
        <v>0</v>
      </c>
      <c r="C1038" s="13" t="n">
        <f aca="false">C1034+1</f>
        <v>261</v>
      </c>
      <c r="D1038" s="0" t="n">
        <f aca="false">'Match Results'!C261</f>
        <v>0</v>
      </c>
      <c r="E1038" s="13" t="str">
        <f aca="false">IF('Match Results'!F725&gt;'Match Results'!E725,"Win",IF('Match Results'!E724='Match Results'!F724,"Draw","Loss"))</f>
        <v>Draw</v>
      </c>
      <c r="F1038" s="0" t="n">
        <f aca="false">IF(E1038="Win",3,IF(E1038="Draw",2,1))</f>
        <v>2</v>
      </c>
    </row>
    <row r="1039" customFormat="false" ht="14.25" hidden="false" customHeight="false" outlineLevel="0" collapsed="false">
      <c r="A1039" s="0" t="n">
        <f aca="false">'Match Results'!A261</f>
        <v>45967</v>
      </c>
      <c r="B1039" s="27" t="n">
        <f aca="false">'Match Results'!B1039</f>
        <v>0</v>
      </c>
      <c r="C1039" s="13" t="n">
        <f aca="false">C1035+1</f>
        <v>261</v>
      </c>
      <c r="D1039" s="0" t="n">
        <f aca="false">'Match Results'!D261</f>
        <v>0</v>
      </c>
      <c r="E1039" s="13" t="str">
        <f aca="false">IF('Match Results'!F726&gt;'Match Results'!E726,"Win",IF('Match Results'!E725='Match Results'!F725,"Draw","Loss"))</f>
        <v>Draw</v>
      </c>
      <c r="F1039" s="0" t="n">
        <f aca="false">IF(E1039="Win",3,IF(E1039="Draw",2,1))</f>
        <v>2</v>
      </c>
    </row>
    <row r="1040" customFormat="false" ht="14.25" hidden="false" customHeight="false" outlineLevel="0" collapsed="false">
      <c r="A1040" s="0" t="n">
        <f aca="false">'Match Results'!A261</f>
        <v>45967</v>
      </c>
      <c r="B1040" s="27" t="n">
        <f aca="false">'Match Results'!B1040</f>
        <v>0</v>
      </c>
      <c r="C1040" s="13" t="n">
        <f aca="false">C1036+1</f>
        <v>261</v>
      </c>
      <c r="D1040" s="0" t="n">
        <f aca="false">'Match Results'!G261</f>
        <v>0</v>
      </c>
      <c r="E1040" s="13" t="str">
        <f aca="false">IF('Match Results'!F727&gt;'Match Results'!E727,"Win",IF('Match Results'!E726='Match Results'!F726,"Draw","Loss"))</f>
        <v>Draw</v>
      </c>
      <c r="F1040" s="0" t="n">
        <f aca="false">IF(E1040="Win",3,IF(E1040="Draw",2,1))</f>
        <v>2</v>
      </c>
    </row>
    <row r="1041" customFormat="false" ht="14.25" hidden="false" customHeight="false" outlineLevel="0" collapsed="false">
      <c r="A1041" s="0" t="n">
        <f aca="false">'Match Results'!A261</f>
        <v>45967</v>
      </c>
      <c r="B1041" s="27" t="n">
        <f aca="false">'Match Results'!B1041</f>
        <v>0</v>
      </c>
      <c r="C1041" s="13" t="n">
        <f aca="false">C1037+1</f>
        <v>261</v>
      </c>
      <c r="D1041" s="0" t="n">
        <f aca="false">'Match Results'!H261</f>
        <v>0</v>
      </c>
      <c r="E1041" s="13" t="str">
        <f aca="false">IF('Match Results'!F728&gt;'Match Results'!E728,"Win",IF('Match Results'!E727='Match Results'!F727,"Draw","Loss"))</f>
        <v>Draw</v>
      </c>
      <c r="F1041" s="0" t="n">
        <f aca="false">IF(E1041="Win",3,IF(E1041="Draw",2,1))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2" activeCellId="0" sqref="H2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10.78"/>
    <col collapsed="false" customWidth="true" hidden="false" outlineLevel="0" max="3" min="3" style="0" width="13.89"/>
    <col collapsed="false" customWidth="true" hidden="false" outlineLevel="0" max="4" min="4" style="0" width="7.67"/>
    <col collapsed="false" customWidth="true" hidden="false" outlineLevel="0" max="5" min="5" style="0" width="8.45"/>
    <col collapsed="false" customWidth="true" hidden="false" outlineLevel="0" max="6" min="6" style="0" width="8.78"/>
    <col collapsed="false" customWidth="true" hidden="false" outlineLevel="0" max="7" min="7" style="0" width="13"/>
    <col collapsed="false" customWidth="true" hidden="false" outlineLevel="0" max="8" min="8" style="0" width="14.34"/>
    <col collapsed="false" customWidth="true" hidden="false" outlineLevel="0" max="9" min="9" style="0" width="13.33"/>
    <col collapsed="false" customWidth="true" hidden="false" outlineLevel="0" max="10" min="10" style="0" width="8.22"/>
  </cols>
  <sheetData>
    <row r="1" customFormat="false" ht="14.25" hidden="false" customHeight="false" outlineLevel="0" collapsed="false">
      <c r="A1" s="0" t="s">
        <v>42</v>
      </c>
      <c r="B1" s="28" t="s">
        <v>38</v>
      </c>
      <c r="C1" s="28" t="s">
        <v>43</v>
      </c>
      <c r="D1" s="28" t="s">
        <v>44</v>
      </c>
      <c r="E1" s="28" t="s">
        <v>45</v>
      </c>
      <c r="F1" s="28" t="s">
        <v>46</v>
      </c>
      <c r="G1" s="28" t="s">
        <v>47</v>
      </c>
      <c r="H1" s="28" t="s">
        <v>48</v>
      </c>
      <c r="I1" s="28" t="s">
        <v>49</v>
      </c>
      <c r="J1" s="28" t="s">
        <v>50</v>
      </c>
    </row>
    <row r="2" customFormat="false" ht="14.25" hidden="false" customHeight="false" outlineLevel="0" collapsed="false">
      <c r="A2" s="29" t="n">
        <v>1</v>
      </c>
      <c r="B2" s="10" t="s">
        <v>12</v>
      </c>
      <c r="C2" s="10" t="n">
        <f aca="false">COUNTIF('Helper Results'!D:D,B2)</f>
        <v>25</v>
      </c>
      <c r="D2" s="10" t="n">
        <f aca="false">COUNTIFS('Helper Results'!D:D,B2,'Helper Results'!E:E,"Win")</f>
        <v>14</v>
      </c>
      <c r="E2" s="10" t="n">
        <f aca="false">COUNTIFS('Helper Results'!D:D,B2,'Helper Results'!E:E,"Draw")</f>
        <v>0</v>
      </c>
      <c r="F2" s="10" t="n">
        <f aca="false">COUNTIFS('Helper Results'!D:D,B2,'Helper Results'!E:E,"Loss")</f>
        <v>11</v>
      </c>
      <c r="G2" s="10" t="n">
        <f aca="false">SUMIF('Helper Results'!D:D,B2,'Helper Results'!F:F)</f>
        <v>53</v>
      </c>
      <c r="H2" s="10" t="n">
        <f aca="false" t="array" ref="H2:H2">_xlfn.LET(_xlpm.dates,IFERROR(_xlfn.UNIQUE(_xlfn._xlws.FILTER('Helper Results'!A:A,('Helper Results'!D:D=$B2)*('Helper Results'!A:A&lt;&gt;""))), ""),_xlpm.counts,IF(_xlpm.dates="", 0, COUNTIFS('Helper Results'!D:D, $B2, 'Helper Results'!A:A, _xlpm.dates, 'Helper Results'!E:E, "Win")),SUMPRODUCT(--(_xlpm.counts=3))+2*SUMPRODUCT(--(_xlpm.counts&gt;=4)))</f>
        <v>4</v>
      </c>
      <c r="I2" s="10" t="n">
        <f aca="false">G2+H2</f>
        <v>57</v>
      </c>
      <c r="J2" s="10" t="n">
        <f aca="false">RANK(I2,$I$2:$I$31)</f>
        <v>1</v>
      </c>
    </row>
    <row r="3" customFormat="false" ht="14.25" hidden="false" customHeight="false" outlineLevel="0" collapsed="false">
      <c r="A3" s="29" t="n">
        <v>2</v>
      </c>
      <c r="B3" s="10" t="s">
        <v>13</v>
      </c>
      <c r="C3" s="10" t="n">
        <f aca="false">COUNTIF('Helper Results'!D:D,B3)</f>
        <v>18</v>
      </c>
      <c r="D3" s="10" t="n">
        <f aca="false">COUNTIFS('Helper Results'!D:D,B3,'Helper Results'!E:E,"Win")</f>
        <v>12</v>
      </c>
      <c r="E3" s="10" t="n">
        <f aca="false">COUNTIFS('Helper Results'!D:D,B3,'Helper Results'!E:E,"Draw")</f>
        <v>2</v>
      </c>
      <c r="F3" s="10" t="n">
        <f aca="false">COUNTIFS('Helper Results'!D:D,B3,'Helper Results'!E:E,"Loss")</f>
        <v>4</v>
      </c>
      <c r="G3" s="10" t="n">
        <f aca="false">SUMIF('Helper Results'!D:D,B3,'Helper Results'!F:F)</f>
        <v>44</v>
      </c>
      <c r="H3" s="10" t="n">
        <f aca="false" t="array" ref="H3:H3">_xlfn.LET(_xlpm.dates,IFERROR(_xlfn.UNIQUE(_xlfn._xlws.FILTER('Helper Results'!A:A,('Helper Results'!D:D=$B3)*('Helper Results'!A:A&lt;&gt;""))), ""),_xlpm.counts,IF(_xlpm.dates="", 0, COUNTIFS('Helper Results'!D:D, $B3, 'Helper Results'!A:A, _xlpm.dates, 'Helper Results'!E:E, "Win")),SUMPRODUCT(--(_xlpm.counts=3))+2*SUMPRODUCT(--(_xlpm.counts&gt;=4)))</f>
        <v>4</v>
      </c>
      <c r="I3" s="10" t="n">
        <f aca="false">G3+H3</f>
        <v>48</v>
      </c>
      <c r="J3" s="10" t="n">
        <f aca="false">RANK(I3,$I$2:$I$31)</f>
        <v>2</v>
      </c>
    </row>
    <row r="4" customFormat="false" ht="14.25" hidden="false" customHeight="false" outlineLevel="0" collapsed="false">
      <c r="A4" s="29" t="n">
        <v>3</v>
      </c>
      <c r="B4" s="10" t="s">
        <v>17</v>
      </c>
      <c r="C4" s="10" t="n">
        <f aca="false">COUNTIF('Helper Results'!D:D,B4)</f>
        <v>20</v>
      </c>
      <c r="D4" s="10" t="n">
        <f aca="false">COUNTIFS('Helper Results'!D:D,B4,'Helper Results'!E:E,"Win")</f>
        <v>10</v>
      </c>
      <c r="E4" s="10" t="n">
        <f aca="false">COUNTIFS('Helper Results'!D:D,B4,'Helper Results'!E:E,"Draw")</f>
        <v>0</v>
      </c>
      <c r="F4" s="10" t="n">
        <f aca="false">COUNTIFS('Helper Results'!D:D,B4,'Helper Results'!E:E,"Loss")</f>
        <v>10</v>
      </c>
      <c r="G4" s="10" t="n">
        <f aca="false">SUMIF('Helper Results'!D:D,B4,'Helper Results'!F:F)</f>
        <v>40</v>
      </c>
      <c r="H4" s="10" t="n">
        <f aca="false" t="array" ref="H4:H4">_xlfn.LET(_xlpm.dates,IFERROR(_xlfn.UNIQUE(_xlfn._xlws.FILTER('Helper Results'!A:A,('Helper Results'!D:D=$B4)*('Helper Results'!A:A&lt;&gt;""))), ""),_xlpm.counts,IF(_xlpm.dates="", 0, COUNTIFS('Helper Results'!D:D, $B4, 'Helper Results'!A:A, _xlpm.dates, 'Helper Results'!E:E, "Win")),SUMPRODUCT(--(_xlpm.counts=3))+2*SUMPRODUCT(--(_xlpm.counts&gt;=4)))</f>
        <v>2</v>
      </c>
      <c r="I4" s="10" t="n">
        <f aca="false">G4+H4</f>
        <v>42</v>
      </c>
      <c r="J4" s="10" t="n">
        <f aca="false">RANK(I4,$I$2:$I$31)</f>
        <v>3</v>
      </c>
    </row>
    <row r="5" customFormat="false" ht="14.25" hidden="false" customHeight="false" outlineLevel="0" collapsed="false">
      <c r="A5" s="29" t="n">
        <v>4</v>
      </c>
      <c r="B5" s="10" t="s">
        <v>23</v>
      </c>
      <c r="C5" s="10" t="n">
        <f aca="false">COUNTIF('Helper Results'!D:D,B5)</f>
        <v>18</v>
      </c>
      <c r="D5" s="10" t="n">
        <f aca="false">COUNTIFS('Helper Results'!D:D,B5,'Helper Results'!E:E,"Win")</f>
        <v>9</v>
      </c>
      <c r="E5" s="10" t="n">
        <f aca="false">COUNTIFS('Helper Results'!D:D,B5,'Helper Results'!E:E,"Draw")</f>
        <v>1</v>
      </c>
      <c r="F5" s="10" t="n">
        <f aca="false">COUNTIFS('Helper Results'!D:D,B5,'Helper Results'!E:E,"Loss")</f>
        <v>8</v>
      </c>
      <c r="G5" s="10" t="n">
        <f aca="false">SUMIF('Helper Results'!D:D,B5,'Helper Results'!F:F)</f>
        <v>37</v>
      </c>
      <c r="H5" s="10" t="n">
        <f aca="false" t="array" ref="H5:H5">_xlfn.LET(_xlpm.dates,IFERROR(_xlfn.UNIQUE(_xlfn._xlws.FILTER('Helper Results'!A:A,('Helper Results'!D:D=$B5)*('Helper Results'!A:A&lt;&gt;""))), ""),_xlpm.counts,IF(_xlpm.dates="", 0, COUNTIFS('Helper Results'!D:D, $B5, 'Helper Results'!A:A, _xlpm.dates, 'Helper Results'!E:E, "Win")),SUMPRODUCT(--(_xlpm.counts=3))+2*SUMPRODUCT(--(_xlpm.counts&gt;=4)))</f>
        <v>3</v>
      </c>
      <c r="I5" s="10" t="n">
        <f aca="false">G5+H5</f>
        <v>40</v>
      </c>
      <c r="J5" s="10" t="n">
        <f aca="false">RANK(I5,$I$2:$I$31)</f>
        <v>4</v>
      </c>
    </row>
    <row r="6" customFormat="false" ht="14.25" hidden="false" customHeight="false" outlineLevel="0" collapsed="false">
      <c r="A6" s="29" t="n">
        <v>5</v>
      </c>
      <c r="B6" s="10" t="s">
        <v>22</v>
      </c>
      <c r="C6" s="10" t="n">
        <f aca="false">COUNTIF('Helper Results'!D:D,B6)</f>
        <v>14</v>
      </c>
      <c r="D6" s="10" t="n">
        <f aca="false">COUNTIFS('Helper Results'!D:D,B6,'Helper Results'!E:E,"Win")</f>
        <v>9</v>
      </c>
      <c r="E6" s="10" t="n">
        <f aca="false">COUNTIFS('Helper Results'!D:D,B6,'Helper Results'!E:E,"Draw")</f>
        <v>0</v>
      </c>
      <c r="F6" s="10" t="n">
        <f aca="false">COUNTIFS('Helper Results'!D:D,B6,'Helper Results'!E:E,"Loss")</f>
        <v>5</v>
      </c>
      <c r="G6" s="10" t="n">
        <f aca="false">SUMIF('Helper Results'!D:D,B6,'Helper Results'!F:F)</f>
        <v>32</v>
      </c>
      <c r="H6" s="10" t="n">
        <f aca="false" t="array" ref="H6:H6">_xlfn.LET(_xlpm.dates,IFERROR(_xlfn.UNIQUE(_xlfn._xlws.FILTER('Helper Results'!A:A,('Helper Results'!D:D=$B6)*('Helper Results'!A:A&lt;&gt;""))), ""),_xlpm.counts,IF(_xlpm.dates="", 0, COUNTIFS('Helper Results'!D:D, $B6, 'Helper Results'!A:A, _xlpm.dates, 'Helper Results'!E:E, "Win")),SUMPRODUCT(--(_xlpm.counts=3))+2*SUMPRODUCT(--(_xlpm.counts&gt;=4)))</f>
        <v>1</v>
      </c>
      <c r="I6" s="10" t="n">
        <f aca="false">G6+H6</f>
        <v>33</v>
      </c>
      <c r="J6" s="10" t="n">
        <f aca="false">RANK(I6,$I$2:$I$31)</f>
        <v>5</v>
      </c>
    </row>
    <row r="7" customFormat="false" ht="14.25" hidden="false" customHeight="false" outlineLevel="0" collapsed="false">
      <c r="A7" s="29" t="n">
        <v>6</v>
      </c>
      <c r="B7" s="10" t="s">
        <v>15</v>
      </c>
      <c r="C7" s="10" t="n">
        <f aca="false">COUNTIF('Helper Results'!D:D,B7)</f>
        <v>13</v>
      </c>
      <c r="D7" s="10" t="n">
        <f aca="false">COUNTIFS('Helper Results'!D:D,B7,'Helper Results'!E:E,"Win")</f>
        <v>8</v>
      </c>
      <c r="E7" s="10" t="n">
        <f aca="false">COUNTIFS('Helper Results'!D:D,B7,'Helper Results'!E:E,"Draw")</f>
        <v>0</v>
      </c>
      <c r="F7" s="10" t="n">
        <f aca="false">COUNTIFS('Helper Results'!D:D,B7,'Helper Results'!E:E,"Loss")</f>
        <v>5</v>
      </c>
      <c r="G7" s="10" t="n">
        <f aca="false">SUMIF('Helper Results'!D:D,B7,'Helper Results'!F:F)</f>
        <v>29</v>
      </c>
      <c r="H7" s="10" t="n">
        <f aca="false" t="array" ref="H7:H7">_xlfn.LET(_xlpm.dates,IFERROR(_xlfn.UNIQUE(_xlfn._xlws.FILTER('Helper Results'!A:A,('Helper Results'!D:D=$B7)*('Helper Results'!A:A&lt;&gt;""))), ""),_xlpm.counts,IF(_xlpm.dates="", 0, COUNTIFS('Helper Results'!D:D, $B7, 'Helper Results'!A:A, _xlpm.dates, 'Helper Results'!E:E, "Win")),SUMPRODUCT(--(_xlpm.counts=3))+2*SUMPRODUCT(--(_xlpm.counts&gt;=4)))</f>
        <v>2</v>
      </c>
      <c r="I7" s="10" t="n">
        <f aca="false">G7+H7</f>
        <v>31</v>
      </c>
      <c r="J7" s="10" t="n">
        <f aca="false">RANK(I7,$I$2:$I$31)</f>
        <v>6</v>
      </c>
    </row>
    <row r="8" customFormat="false" ht="14.25" hidden="false" customHeight="false" outlineLevel="0" collapsed="false">
      <c r="A8" s="29" t="n">
        <v>7</v>
      </c>
      <c r="B8" s="10" t="s">
        <v>29</v>
      </c>
      <c r="C8" s="10" t="n">
        <f aca="false">COUNTIF('Helper Results'!D:D,B8)</f>
        <v>13</v>
      </c>
      <c r="D8" s="10" t="n">
        <f aca="false">COUNTIFS('Helper Results'!D:D,B8,'Helper Results'!E:E,"Win")</f>
        <v>8</v>
      </c>
      <c r="E8" s="10" t="n">
        <f aca="false">COUNTIFS('Helper Results'!D:D,B8,'Helper Results'!E:E,"Draw")</f>
        <v>0</v>
      </c>
      <c r="F8" s="10" t="n">
        <f aca="false">COUNTIFS('Helper Results'!D:D,B8,'Helper Results'!E:E,"Loss")</f>
        <v>5</v>
      </c>
      <c r="G8" s="10" t="n">
        <f aca="false">SUMIF('Helper Results'!D:D,B8,'Helper Results'!F:F)</f>
        <v>29</v>
      </c>
      <c r="H8" s="10" t="n">
        <f aca="false" t="array" ref="H8:H8">_xlfn.LET(_xlpm.dates,IFERROR(_xlfn.UNIQUE(_xlfn._xlws.FILTER('Helper Results'!A:A,('Helper Results'!D:D=$B8)*('Helper Results'!A:A&lt;&gt;""))), ""),_xlpm.counts,IF(_xlpm.dates="", 0, COUNTIFS('Helper Results'!D:D, $B8, 'Helper Results'!A:A, _xlpm.dates, 'Helper Results'!E:E, "Win")),SUMPRODUCT(--(_xlpm.counts=3))+2*SUMPRODUCT(--(_xlpm.counts&gt;=4)))</f>
        <v>2</v>
      </c>
      <c r="I8" s="10" t="n">
        <f aca="false">G8+H8</f>
        <v>31</v>
      </c>
      <c r="J8" s="10" t="n">
        <f aca="false">RANK(I8,$I$2:$I$31)</f>
        <v>6</v>
      </c>
    </row>
    <row r="9" customFormat="false" ht="14.25" hidden="false" customHeight="false" outlineLevel="0" collapsed="false">
      <c r="A9" s="29" t="n">
        <v>8</v>
      </c>
      <c r="B9" s="10" t="s">
        <v>18</v>
      </c>
      <c r="C9" s="10" t="n">
        <f aca="false">COUNTIF('Helper Results'!D:D,B9)</f>
        <v>13</v>
      </c>
      <c r="D9" s="10" t="n">
        <f aca="false">COUNTIFS('Helper Results'!D:D,B9,'Helper Results'!E:E,"Win")</f>
        <v>7</v>
      </c>
      <c r="E9" s="10" t="n">
        <f aca="false">COUNTIFS('Helper Results'!D:D,B9,'Helper Results'!E:E,"Draw")</f>
        <v>0</v>
      </c>
      <c r="F9" s="10" t="n">
        <f aca="false">COUNTIFS('Helper Results'!D:D,B9,'Helper Results'!E:E,"Loss")</f>
        <v>6</v>
      </c>
      <c r="G9" s="10" t="n">
        <f aca="false">SUMIF('Helper Results'!D:D,B9,'Helper Results'!F:F)</f>
        <v>27</v>
      </c>
      <c r="H9" s="10" t="n">
        <f aca="false" t="array" ref="H9:H9">_xlfn.LET(_xlpm.dates,IFERROR(_xlfn.UNIQUE(_xlfn._xlws.FILTER('Helper Results'!A:A,('Helper Results'!D:D=$B9)*('Helper Results'!A:A&lt;&gt;""))), ""),_xlpm.counts,IF(_xlpm.dates="", 0, COUNTIFS('Helper Results'!D:D, $B9, 'Helper Results'!A:A, _xlpm.dates, 'Helper Results'!E:E, "Win")),SUMPRODUCT(--(_xlpm.counts=3))+2*SUMPRODUCT(--(_xlpm.counts&gt;=4)))</f>
        <v>1</v>
      </c>
      <c r="I9" s="10" t="n">
        <f aca="false">G9+H9</f>
        <v>28</v>
      </c>
      <c r="J9" s="10" t="n">
        <f aca="false">RANK(I9,$I$2:$I$31)</f>
        <v>8</v>
      </c>
    </row>
    <row r="10" customFormat="false" ht="14.25" hidden="false" customHeight="false" outlineLevel="0" collapsed="false">
      <c r="A10" s="29" t="n">
        <v>9</v>
      </c>
      <c r="B10" s="10" t="s">
        <v>9</v>
      </c>
      <c r="C10" s="10" t="n">
        <f aca="false">COUNTIF('Helper Results'!D:D,B10)</f>
        <v>10</v>
      </c>
      <c r="D10" s="10" t="n">
        <f aca="false">COUNTIFS('Helper Results'!D:D,B10,'Helper Results'!E:E,"Win")</f>
        <v>7</v>
      </c>
      <c r="E10" s="10" t="n">
        <f aca="false">COUNTIFS('Helper Results'!D:D,B10,'Helper Results'!E:E,"Draw")</f>
        <v>1</v>
      </c>
      <c r="F10" s="10" t="n">
        <f aca="false">COUNTIFS('Helper Results'!D:D,B10,'Helper Results'!E:E,"Loss")</f>
        <v>2</v>
      </c>
      <c r="G10" s="10" t="n">
        <f aca="false">SUMIF('Helper Results'!D:D,B10,'Helper Results'!F:F)</f>
        <v>25</v>
      </c>
      <c r="H10" s="10" t="n">
        <f aca="false" t="array" ref="H10:H10">_xlfn.LET(_xlpm.dates,IFERROR(_xlfn.UNIQUE(_xlfn._xlws.FILTER('Helper Results'!A:A,('Helper Results'!D:D=$B10)*('Helper Results'!A:A&lt;&gt;""))), ""),_xlpm.counts,IF(_xlpm.dates="", 0, COUNTIFS('Helper Results'!D:D, $B10, 'Helper Results'!A:A, _xlpm.dates, 'Helper Results'!E:E, "Win")),SUMPRODUCT(--(_xlpm.counts=3))+2*SUMPRODUCT(--(_xlpm.counts&gt;=4)))</f>
        <v>2</v>
      </c>
      <c r="I10" s="10" t="n">
        <f aca="false">G10+H10</f>
        <v>27</v>
      </c>
      <c r="J10" s="10" t="n">
        <f aca="false">RANK(I10,$I$2:$I$31)</f>
        <v>9</v>
      </c>
    </row>
    <row r="11" customFormat="false" ht="14.25" hidden="false" customHeight="false" outlineLevel="0" collapsed="false">
      <c r="A11" s="29" t="n">
        <v>10</v>
      </c>
      <c r="B11" s="10" t="s">
        <v>28</v>
      </c>
      <c r="C11" s="10" t="n">
        <f aca="false">COUNTIF('Helper Results'!D:D,B11)</f>
        <v>12</v>
      </c>
      <c r="D11" s="10" t="n">
        <f aca="false">COUNTIFS('Helper Results'!D:D,B11,'Helper Results'!E:E,"Win")</f>
        <v>6</v>
      </c>
      <c r="E11" s="10" t="n">
        <f aca="false">COUNTIFS('Helper Results'!D:D,B11,'Helper Results'!E:E,"Draw")</f>
        <v>0</v>
      </c>
      <c r="F11" s="10" t="n">
        <f aca="false">COUNTIFS('Helper Results'!D:D,B11,'Helper Results'!E:E,"Loss")</f>
        <v>6</v>
      </c>
      <c r="G11" s="10" t="n">
        <f aca="false">SUMIF('Helper Results'!D:D,B11,'Helper Results'!F:F)</f>
        <v>24</v>
      </c>
      <c r="H11" s="10" t="n">
        <f aca="false" t="array" ref="H11:H11">_xlfn.LET(_xlpm.dates,IFERROR(_xlfn.UNIQUE(_xlfn._xlws.FILTER('Helper Results'!A:A,('Helper Results'!D:D=$B11)*('Helper Results'!A:A&lt;&gt;""))), ""),_xlpm.counts,IF(_xlpm.dates="", 0, COUNTIFS('Helper Results'!D:D, $B11, 'Helper Results'!A:A, _xlpm.dates, 'Helper Results'!E:E, "Win")),SUMPRODUCT(--(_xlpm.counts=3))+2*SUMPRODUCT(--(_xlpm.counts&gt;=4)))</f>
        <v>1</v>
      </c>
      <c r="I11" s="10" t="n">
        <f aca="false">G11+H11</f>
        <v>25</v>
      </c>
      <c r="J11" s="10" t="n">
        <f aca="false">RANK(I11,$I$2:$I$31)</f>
        <v>10</v>
      </c>
    </row>
    <row r="12" customFormat="false" ht="14.25" hidden="false" customHeight="false" outlineLevel="0" collapsed="false">
      <c r="A12" s="29" t="n">
        <v>11</v>
      </c>
      <c r="B12" s="10" t="s">
        <v>27</v>
      </c>
      <c r="C12" s="10" t="n">
        <f aca="false">COUNTIF('Helper Results'!D:D,B12)</f>
        <v>14</v>
      </c>
      <c r="D12" s="10" t="n">
        <f aca="false">COUNTIFS('Helper Results'!D:D,B12,'Helper Results'!E:E,"Win")</f>
        <v>5</v>
      </c>
      <c r="E12" s="10" t="n">
        <f aca="false">COUNTIFS('Helper Results'!D:D,B12,'Helper Results'!E:E,"Draw")</f>
        <v>0</v>
      </c>
      <c r="F12" s="10" t="n">
        <f aca="false">COUNTIFS('Helper Results'!D:D,B12,'Helper Results'!E:E,"Loss")</f>
        <v>9</v>
      </c>
      <c r="G12" s="10" t="n">
        <f aca="false">SUMIF('Helper Results'!D:D,B12,'Helper Results'!F:F)</f>
        <v>24</v>
      </c>
      <c r="H12" s="10" t="n">
        <f aca="false" t="array" ref="H12:H12">_xlfn.LET(_xlpm.dates,IFERROR(_xlfn.UNIQUE(_xlfn._xlws.FILTER('Helper Results'!A:A,('Helper Results'!D:D=$B12)*('Helper Results'!A:A&lt;&gt;""))), ""),_xlpm.counts,IF(_xlpm.dates="", 0, COUNTIFS('Helper Results'!D:D, $B12, 'Helper Results'!A:A, _xlpm.dates, 'Helper Results'!E:E, "Win")),SUMPRODUCT(--(_xlpm.counts=3))+2*SUMPRODUCT(--(_xlpm.counts&gt;=4)))</f>
        <v>1</v>
      </c>
      <c r="I12" s="10" t="n">
        <f aca="false">G12+H12</f>
        <v>25</v>
      </c>
      <c r="J12" s="10" t="n">
        <f aca="false">RANK(I12,$I$2:$I$31)</f>
        <v>10</v>
      </c>
    </row>
    <row r="13" customFormat="false" ht="14.25" hidden="false" customHeight="false" outlineLevel="0" collapsed="false">
      <c r="A13" s="29" t="n">
        <v>12</v>
      </c>
      <c r="B13" s="10" t="s">
        <v>14</v>
      </c>
      <c r="C13" s="10" t="n">
        <f aca="false">COUNTIF('Helper Results'!D:D,B13)</f>
        <v>12</v>
      </c>
      <c r="D13" s="10" t="n">
        <f aca="false">COUNTIFS('Helper Results'!D:D,B13,'Helper Results'!E:E,"Win")</f>
        <v>5</v>
      </c>
      <c r="E13" s="10" t="n">
        <f aca="false">COUNTIFS('Helper Results'!D:D,B13,'Helper Results'!E:E,"Draw")</f>
        <v>1</v>
      </c>
      <c r="F13" s="10" t="n">
        <f aca="false">COUNTIFS('Helper Results'!D:D,B13,'Helper Results'!E:E,"Loss")</f>
        <v>6</v>
      </c>
      <c r="G13" s="10" t="n">
        <f aca="false">SUMIF('Helper Results'!D:D,B13,'Helper Results'!F:F)</f>
        <v>23</v>
      </c>
      <c r="H13" s="10" t="n">
        <f aca="false" t="array" ref="H13:H13">_xlfn.LET(_xlpm.dates,IFERROR(_xlfn.UNIQUE(_xlfn._xlws.FILTER('Helper Results'!A:A,('Helper Results'!D:D=$B13)*('Helper Results'!A:A&lt;&gt;""))), ""),_xlpm.counts,IF(_xlpm.dates="", 0, COUNTIFS('Helper Results'!D:D, $B13, 'Helper Results'!A:A, _xlpm.dates, 'Helper Results'!E:E, "Win")),SUMPRODUCT(--(_xlpm.counts=3))+2*SUMPRODUCT(--(_xlpm.counts&gt;=4)))</f>
        <v>1</v>
      </c>
      <c r="I13" s="10" t="n">
        <f aca="false">G13+H13</f>
        <v>24</v>
      </c>
      <c r="J13" s="10" t="n">
        <f aca="false">RANK(I13,$I$2:$I$31)</f>
        <v>12</v>
      </c>
    </row>
    <row r="14" customFormat="false" ht="14.25" hidden="false" customHeight="false" outlineLevel="0" collapsed="false">
      <c r="A14" s="29" t="n">
        <v>13</v>
      </c>
      <c r="B14" s="10" t="s">
        <v>20</v>
      </c>
      <c r="C14" s="10" t="n">
        <f aca="false">COUNTIF('Helper Results'!D:D,B14)</f>
        <v>11</v>
      </c>
      <c r="D14" s="10" t="n">
        <f aca="false">COUNTIFS('Helper Results'!D:D,B14,'Helper Results'!E:E,"Win")</f>
        <v>5</v>
      </c>
      <c r="E14" s="10" t="n">
        <f aca="false">COUNTIFS('Helper Results'!D:D,B14,'Helper Results'!E:E,"Draw")</f>
        <v>0</v>
      </c>
      <c r="F14" s="10" t="n">
        <f aca="false">COUNTIFS('Helper Results'!D:D,B14,'Helper Results'!E:E,"Loss")</f>
        <v>6</v>
      </c>
      <c r="G14" s="10" t="n">
        <f aca="false">SUMIF('Helper Results'!D:D,B14,'Helper Results'!F:F)</f>
        <v>21</v>
      </c>
      <c r="H14" s="10" t="n">
        <f aca="false" t="array" ref="H14:H14">_xlfn.LET(_xlpm.dates,IFERROR(_xlfn.UNIQUE(_xlfn._xlws.FILTER('Helper Results'!A:A,('Helper Results'!D:D=$B14)*('Helper Results'!A:A&lt;&gt;""))), ""),_xlpm.counts,IF(_xlpm.dates="", 0, COUNTIFS('Helper Results'!D:D, $B14, 'Helper Results'!A:A, _xlpm.dates, 'Helper Results'!E:E, "Win")),SUMPRODUCT(--(_xlpm.counts=3))+2*SUMPRODUCT(--(_xlpm.counts&gt;=4)))</f>
        <v>1</v>
      </c>
      <c r="I14" s="10" t="n">
        <f aca="false">G14+H14</f>
        <v>22</v>
      </c>
      <c r="J14" s="10" t="n">
        <f aca="false">RANK(I14,$I$2:$I$31)</f>
        <v>13</v>
      </c>
    </row>
    <row r="15" customFormat="false" ht="14.25" hidden="false" customHeight="false" outlineLevel="0" collapsed="false">
      <c r="A15" s="29" t="n">
        <v>14</v>
      </c>
      <c r="B15" s="10" t="s">
        <v>10</v>
      </c>
      <c r="C15" s="10" t="n">
        <f aca="false">COUNTIF('Helper Results'!D:D,B15)</f>
        <v>11</v>
      </c>
      <c r="D15" s="10" t="n">
        <f aca="false">COUNTIFS('Helper Results'!D:D,B15,'Helper Results'!E:E,"Win")</f>
        <v>4</v>
      </c>
      <c r="E15" s="10" t="n">
        <f aca="false">COUNTIFS('Helper Results'!D:D,B15,'Helper Results'!E:E,"Draw")</f>
        <v>1</v>
      </c>
      <c r="F15" s="10" t="n">
        <f aca="false">COUNTIFS('Helper Results'!D:D,B15,'Helper Results'!E:E,"Loss")</f>
        <v>6</v>
      </c>
      <c r="G15" s="10" t="n">
        <f aca="false">SUMIF('Helper Results'!D:D,B15,'Helper Results'!F:F)</f>
        <v>20</v>
      </c>
      <c r="H15" s="10" t="n">
        <f aca="false" t="array" ref="H15:H15">_xlfn.LET(_xlpm.dates,IFERROR(_xlfn.UNIQUE(_xlfn._xlws.FILTER('Helper Results'!A:A,('Helper Results'!D:D=$B15)*('Helper Results'!A:A&lt;&gt;""))), ""),_xlpm.counts,IF(_xlpm.dates="", 0, COUNTIFS('Helper Results'!D:D, $B15, 'Helper Results'!A:A, _xlpm.dates, 'Helper Results'!E:E, "Win")),SUMPRODUCT(--(_xlpm.counts=3))+2*SUMPRODUCT(--(_xlpm.counts&gt;=4)))</f>
        <v>0</v>
      </c>
      <c r="I15" s="10" t="n">
        <f aca="false">G15+H15</f>
        <v>20</v>
      </c>
      <c r="J15" s="10" t="n">
        <f aca="false">RANK(I15,$I$2:$I$31)</f>
        <v>14</v>
      </c>
    </row>
    <row r="16" customFormat="false" ht="14.25" hidden="false" customHeight="false" outlineLevel="0" collapsed="false">
      <c r="A16" s="29" t="n">
        <v>15</v>
      </c>
      <c r="B16" s="10" t="s">
        <v>16</v>
      </c>
      <c r="C16" s="10" t="n">
        <f aca="false">COUNTIF('Helper Results'!D:D,B16)</f>
        <v>10</v>
      </c>
      <c r="D16" s="10" t="n">
        <f aca="false">COUNTIFS('Helper Results'!D:D,B16,'Helper Results'!E:E,"Win")</f>
        <v>5</v>
      </c>
      <c r="E16" s="10" t="n">
        <f aca="false">COUNTIFS('Helper Results'!D:D,B16,'Helper Results'!E:E,"Draw")</f>
        <v>0</v>
      </c>
      <c r="F16" s="10" t="n">
        <f aca="false">COUNTIFS('Helper Results'!D:D,B16,'Helper Results'!E:E,"Loss")</f>
        <v>5</v>
      </c>
      <c r="G16" s="10" t="n">
        <f aca="false">SUMIF('Helper Results'!D:D,B16,'Helper Results'!F:F)</f>
        <v>20</v>
      </c>
      <c r="H16" s="10" t="n">
        <f aca="false" t="array" ref="H16:H16">_xlfn.LET(_xlpm.dates,IFERROR(_xlfn.UNIQUE(_xlfn._xlws.FILTER('Helper Results'!A:A,('Helper Results'!D:D=$B16)*('Helper Results'!A:A&lt;&gt;""))), ""),_xlpm.counts,IF(_xlpm.dates="", 0, COUNTIFS('Helper Results'!D:D, $B16, 'Helper Results'!A:A, _xlpm.dates, 'Helper Results'!E:E, "Win")),SUMPRODUCT(--(_xlpm.counts=3))+2*SUMPRODUCT(--(_xlpm.counts&gt;=4)))</f>
        <v>0</v>
      </c>
      <c r="I16" s="10" t="n">
        <f aca="false">G16+H16</f>
        <v>20</v>
      </c>
      <c r="J16" s="10" t="n">
        <f aca="false">RANK(I16,$I$2:$I$31)</f>
        <v>14</v>
      </c>
    </row>
    <row r="17" customFormat="false" ht="14.25" hidden="false" customHeight="false" outlineLevel="0" collapsed="false">
      <c r="A17" s="29" t="n">
        <v>16</v>
      </c>
      <c r="B17" s="10" t="s">
        <v>31</v>
      </c>
      <c r="C17" s="10" t="n">
        <f aca="false">COUNTIF('Helper Results'!D:D,B17)</f>
        <v>8</v>
      </c>
      <c r="D17" s="10" t="n">
        <f aca="false">COUNTIFS('Helper Results'!D:D,B17,'Helper Results'!E:E,"Win")</f>
        <v>5</v>
      </c>
      <c r="E17" s="10" t="n">
        <f aca="false">COUNTIFS('Helper Results'!D:D,B17,'Helper Results'!E:E,"Draw")</f>
        <v>0</v>
      </c>
      <c r="F17" s="10" t="n">
        <f aca="false">COUNTIFS('Helper Results'!D:D,B17,'Helper Results'!E:E,"Loss")</f>
        <v>3</v>
      </c>
      <c r="G17" s="10" t="n">
        <f aca="false">SUMIF('Helper Results'!D:D,B17,'Helper Results'!F:F)</f>
        <v>18</v>
      </c>
      <c r="H17" s="10" t="n">
        <f aca="false" t="array" ref="H17:H17">_xlfn.LET(_xlpm.dates,IFERROR(_xlfn.UNIQUE(_xlfn._xlws.FILTER('Helper Results'!A:A,('Helper Results'!D:D=$B17)*('Helper Results'!A:A&lt;&gt;""))), ""),_xlpm.counts,IF(_xlpm.dates="", 0, COUNTIFS('Helper Results'!D:D, $B17, 'Helper Results'!A:A, _xlpm.dates, 'Helper Results'!E:E, "Win")),SUMPRODUCT(--(_xlpm.counts=3))+2*SUMPRODUCT(--(_xlpm.counts&gt;=4)))</f>
        <v>2</v>
      </c>
      <c r="I17" s="10" t="n">
        <f aca="false">G17+H17</f>
        <v>20</v>
      </c>
      <c r="J17" s="10" t="n">
        <f aca="false">RANK(I17,$I$2:$I$31)</f>
        <v>14</v>
      </c>
    </row>
    <row r="18" customFormat="false" ht="14.25" hidden="false" customHeight="false" outlineLevel="0" collapsed="false">
      <c r="A18" s="29" t="n">
        <v>17</v>
      </c>
      <c r="B18" s="10" t="s">
        <v>21</v>
      </c>
      <c r="C18" s="10" t="n">
        <f aca="false">COUNTIF('Helper Results'!D:D,B18)</f>
        <v>7</v>
      </c>
      <c r="D18" s="10" t="n">
        <f aca="false">COUNTIFS('Helper Results'!D:D,B18,'Helper Results'!E:E,"Win")</f>
        <v>4</v>
      </c>
      <c r="E18" s="10" t="n">
        <f aca="false">COUNTIFS('Helper Results'!D:D,B18,'Helper Results'!E:E,"Draw")</f>
        <v>0</v>
      </c>
      <c r="F18" s="10" t="n">
        <f aca="false">COUNTIFS('Helper Results'!D:D,B18,'Helper Results'!E:E,"Loss")</f>
        <v>3</v>
      </c>
      <c r="G18" s="10" t="n">
        <f aca="false">SUMIF('Helper Results'!D:D,B18,'Helper Results'!F:F)</f>
        <v>15</v>
      </c>
      <c r="H18" s="10" t="n">
        <f aca="false" t="array" ref="H18:H18">_xlfn.LET(_xlpm.dates,IFERROR(_xlfn.UNIQUE(_xlfn._xlws.FILTER('Helper Results'!A:A,('Helper Results'!D:D=$B18)*('Helper Results'!A:A&lt;&gt;""))), ""),_xlpm.counts,IF(_xlpm.dates="", 0, COUNTIFS('Helper Results'!D:D, $B18, 'Helper Results'!A:A, _xlpm.dates, 'Helper Results'!E:E, "Win")),SUMPRODUCT(--(_xlpm.counts=3))+2*SUMPRODUCT(--(_xlpm.counts&gt;=4)))</f>
        <v>1</v>
      </c>
      <c r="I18" s="10" t="n">
        <f aca="false">G18+H18</f>
        <v>16</v>
      </c>
      <c r="J18" s="10" t="n">
        <f aca="false">RANK(I18,$I$2:$I$31)</f>
        <v>17</v>
      </c>
    </row>
    <row r="19" customFormat="false" ht="14.25" hidden="false" customHeight="false" outlineLevel="0" collapsed="false">
      <c r="A19" s="29" t="n">
        <v>18</v>
      </c>
      <c r="B19" s="10" t="s">
        <v>24</v>
      </c>
      <c r="C19" s="10" t="n">
        <f aca="false">COUNTIF('Helper Results'!D:D,B19)</f>
        <v>8</v>
      </c>
      <c r="D19" s="10" t="n">
        <f aca="false">COUNTIFS('Helper Results'!D:D,B19,'Helper Results'!E:E,"Win")</f>
        <v>1</v>
      </c>
      <c r="E19" s="10" t="n">
        <f aca="false">COUNTIFS('Helper Results'!D:D,B19,'Helper Results'!E:E,"Draw")</f>
        <v>1</v>
      </c>
      <c r="F19" s="10" t="n">
        <f aca="false">COUNTIFS('Helper Results'!D:D,B19,'Helper Results'!E:E,"Loss")</f>
        <v>6</v>
      </c>
      <c r="G19" s="10" t="n">
        <f aca="false">SUMIF('Helper Results'!D:D,B19,'Helper Results'!F:F)</f>
        <v>11</v>
      </c>
      <c r="H19" s="10" t="n">
        <f aca="false" t="array" ref="H19:H19">_xlfn.LET(_xlpm.dates,IFERROR(_xlfn.UNIQUE(_xlfn._xlws.FILTER('Helper Results'!A:A,('Helper Results'!D:D=$B19)*('Helper Results'!A:A&lt;&gt;""))), ""),_xlpm.counts,IF(_xlpm.dates="", 0, COUNTIFS('Helper Results'!D:D, $B19, 'Helper Results'!A:A, _xlpm.dates, 'Helper Results'!E:E, "Win")),SUMPRODUCT(--(_xlpm.counts=3))+2*SUMPRODUCT(--(_xlpm.counts&gt;=4)))</f>
        <v>0</v>
      </c>
      <c r="I19" s="10" t="n">
        <f aca="false">G19+H19</f>
        <v>11</v>
      </c>
      <c r="J19" s="10" t="n">
        <f aca="false">RANK(I19,$I$2:$I$31)</f>
        <v>18</v>
      </c>
    </row>
    <row r="20" customFormat="false" ht="14.25" hidden="false" customHeight="false" outlineLevel="0" collapsed="false">
      <c r="A20" s="29" t="n">
        <v>19</v>
      </c>
      <c r="B20" s="10" t="s">
        <v>11</v>
      </c>
      <c r="C20" s="10" t="n">
        <f aca="false">COUNTIF('Helper Results'!D:D,B20)</f>
        <v>4</v>
      </c>
      <c r="D20" s="10" t="n">
        <f aca="false">COUNTIFS('Helper Results'!D:D,B20,'Helper Results'!E:E,"Win")</f>
        <v>2</v>
      </c>
      <c r="E20" s="10" t="n">
        <f aca="false">COUNTIFS('Helper Results'!D:D,B20,'Helper Results'!E:E,"Draw")</f>
        <v>0</v>
      </c>
      <c r="F20" s="10" t="n">
        <f aca="false">COUNTIFS('Helper Results'!D:D,B20,'Helper Results'!E:E,"Loss")</f>
        <v>2</v>
      </c>
      <c r="G20" s="10" t="n">
        <f aca="false">SUMIF('Helper Results'!D:D,B20,'Helper Results'!F:F)</f>
        <v>8</v>
      </c>
      <c r="H20" s="10" t="n">
        <f aca="false" t="array" ref="H20:H20">_xlfn.LET(_xlpm.dates,IFERROR(_xlfn.UNIQUE(_xlfn._xlws.FILTER('Helper Results'!A:A,('Helper Results'!D:D=$B20)*('Helper Results'!A:A&lt;&gt;""))), ""),_xlpm.counts,IF(_xlpm.dates="", 0, COUNTIFS('Helper Results'!D:D, $B20, 'Helper Results'!A:A, _xlpm.dates, 'Helper Results'!E:E, "Win")),SUMPRODUCT(--(_xlpm.counts=3))+2*SUMPRODUCT(--(_xlpm.counts&gt;=4)))</f>
        <v>0</v>
      </c>
      <c r="I20" s="10" t="n">
        <f aca="false">G20+H20</f>
        <v>8</v>
      </c>
      <c r="J20" s="10" t="n">
        <f aca="false">RANK(I20,$I$2:$I$31)</f>
        <v>20</v>
      </c>
    </row>
    <row r="21" customFormat="false" ht="14.25" hidden="false" customHeight="false" outlineLevel="0" collapsed="false">
      <c r="A21" s="29" t="n">
        <v>20</v>
      </c>
      <c r="B21" s="10" t="s">
        <v>25</v>
      </c>
      <c r="C21" s="10" t="n">
        <f aca="false">COUNTIF('Helper Results'!D:D,B21)</f>
        <v>4</v>
      </c>
      <c r="D21" s="10" t="n">
        <f aca="false">COUNTIFS('Helper Results'!D:D,B21,'Helper Results'!E:E,"Win")</f>
        <v>2</v>
      </c>
      <c r="E21" s="10" t="n">
        <f aca="false">COUNTIFS('Helper Results'!D:D,B21,'Helper Results'!E:E,"Draw")</f>
        <v>1</v>
      </c>
      <c r="F21" s="10" t="n">
        <f aca="false">COUNTIFS('Helper Results'!D:D,B21,'Helper Results'!E:E,"Loss")</f>
        <v>1</v>
      </c>
      <c r="G21" s="10" t="n">
        <f aca="false">SUMIF('Helper Results'!D:D,B21,'Helper Results'!F:F)</f>
        <v>9</v>
      </c>
      <c r="H21" s="10" t="n">
        <f aca="false" t="array" ref="H21:H21">_xlfn.LET(_xlpm.dates,IFERROR(_xlfn.UNIQUE(_xlfn._xlws.FILTER('Helper Results'!A:A,('Helper Results'!D:D=$B21)*('Helper Results'!A:A&lt;&gt;""))), ""),_xlpm.counts,IF(_xlpm.dates="", 0, COUNTIFS('Helper Results'!D:D, $B21, 'Helper Results'!A:A, _xlpm.dates, 'Helper Results'!E:E, "Win")),SUMPRODUCT(--(_xlpm.counts=3))+2*SUMPRODUCT(--(_xlpm.counts&gt;=4)))</f>
        <v>0</v>
      </c>
      <c r="I21" s="10" t="n">
        <f aca="false">G21+H21</f>
        <v>9</v>
      </c>
      <c r="J21" s="10" t="n">
        <f aca="false">RANK(I21,$I$2:$I$31)</f>
        <v>19</v>
      </c>
    </row>
    <row r="22" customFormat="false" ht="14.25" hidden="false" customHeight="false" outlineLevel="0" collapsed="false">
      <c r="A22" s="29" t="n">
        <v>21</v>
      </c>
      <c r="B22" s="10" t="s">
        <v>26</v>
      </c>
      <c r="C22" s="10" t="n">
        <f aca="false">COUNTIF('Helper Results'!D:D,B22)</f>
        <v>4</v>
      </c>
      <c r="D22" s="10" t="n">
        <f aca="false">COUNTIFS('Helper Results'!D:D,B22,'Helper Results'!E:E,"Win")</f>
        <v>2</v>
      </c>
      <c r="E22" s="10" t="n">
        <f aca="false">COUNTIFS('Helper Results'!D:D,B22,'Helper Results'!E:E,"Draw")</f>
        <v>0</v>
      </c>
      <c r="F22" s="10" t="n">
        <f aca="false">COUNTIFS('Helper Results'!D:D,B22,'Helper Results'!E:E,"Loss")</f>
        <v>2</v>
      </c>
      <c r="G22" s="10" t="n">
        <f aca="false">SUMIF('Helper Results'!D:D,B22,'Helper Results'!F:F)</f>
        <v>8</v>
      </c>
      <c r="H22" s="10" t="n">
        <f aca="false" t="array" ref="H22:H22">_xlfn.LET(_xlpm.dates,IFERROR(_xlfn.UNIQUE(_xlfn._xlws.FILTER('Helper Results'!A:A,('Helper Results'!D:D=$B22)*('Helper Results'!A:A&lt;&gt;""))), ""),_xlpm.counts,IF(_xlpm.dates="", 0, COUNTIFS('Helper Results'!D:D, $B22, 'Helper Results'!A:A, _xlpm.dates, 'Helper Results'!E:E, "Win")),SUMPRODUCT(--(_xlpm.counts=3))+2*SUMPRODUCT(--(_xlpm.counts&gt;=4)))</f>
        <v>0</v>
      </c>
      <c r="I22" s="10" t="n">
        <f aca="false">G22+H22</f>
        <v>8</v>
      </c>
      <c r="J22" s="10" t="n">
        <f aca="false">RANK(I22,$I$2:$I$31)</f>
        <v>20</v>
      </c>
    </row>
    <row r="23" customFormat="false" ht="14.25" hidden="false" customHeight="false" outlineLevel="0" collapsed="false">
      <c r="A23" s="29" t="n">
        <v>22</v>
      </c>
      <c r="B23" s="10" t="s">
        <v>34</v>
      </c>
      <c r="C23" s="10" t="n">
        <f aca="false">COUNTIF('Helper Results'!D:D,B23)</f>
        <v>6</v>
      </c>
      <c r="D23" s="10" t="n">
        <f aca="false">COUNTIFS('Helper Results'!D:D,B23,'Helper Results'!E:E,"Win")</f>
        <v>1</v>
      </c>
      <c r="E23" s="10" t="n">
        <f aca="false">COUNTIFS('Helper Results'!D:D,B23,'Helper Results'!E:E,"Draw")</f>
        <v>0</v>
      </c>
      <c r="F23" s="10" t="n">
        <f aca="false">COUNTIFS('Helper Results'!D:D,B23,'Helper Results'!E:E,"Loss")</f>
        <v>5</v>
      </c>
      <c r="G23" s="10" t="n">
        <f aca="false">SUMIF('Helper Results'!D:D,B23,'Helper Results'!F:F)</f>
        <v>8</v>
      </c>
      <c r="H23" s="10" t="n">
        <f aca="false" t="array" ref="H23:H23">_xlfn.LET(_xlpm.dates,IFERROR(_xlfn.UNIQUE(_xlfn._xlws.FILTER('Helper Results'!A:A,('Helper Results'!D:D=$B23)*('Helper Results'!A:A&lt;&gt;""))), ""),_xlpm.counts,IF(_xlpm.dates="", 0, COUNTIFS('Helper Results'!D:D, $B23, 'Helper Results'!A:A, _xlpm.dates, 'Helper Results'!E:E, "Win")),SUMPRODUCT(--(_xlpm.counts=3))+2*SUMPRODUCT(--(_xlpm.counts&gt;=4)))</f>
        <v>0</v>
      </c>
      <c r="I23" s="10" t="n">
        <f aca="false">G23+H23</f>
        <v>8</v>
      </c>
      <c r="J23" s="10" t="n">
        <f aca="false">RANK(I23,$I$2:$I$31)</f>
        <v>20</v>
      </c>
    </row>
    <row r="24" customFormat="false" ht="14.25" hidden="false" customHeight="false" outlineLevel="0" collapsed="false">
      <c r="A24" s="29" t="n">
        <v>23</v>
      </c>
      <c r="B24" s="10" t="s">
        <v>33</v>
      </c>
      <c r="C24" s="10" t="n">
        <f aca="false">COUNTIF('Helper Results'!D:D,B24)</f>
        <v>7</v>
      </c>
      <c r="D24" s="10" t="n">
        <f aca="false">COUNTIFS('Helper Results'!D:D,B24,'Helper Results'!E:E,"Win")</f>
        <v>0</v>
      </c>
      <c r="E24" s="10" t="n">
        <f aca="false">COUNTIFS('Helper Results'!D:D,B24,'Helper Results'!E:E,"Draw")</f>
        <v>0</v>
      </c>
      <c r="F24" s="10" t="n">
        <f aca="false">COUNTIFS('Helper Results'!D:D,B24,'Helper Results'!E:E,"Loss")</f>
        <v>7</v>
      </c>
      <c r="G24" s="10" t="n">
        <f aca="false">SUMIF('Helper Results'!D:D,B24,'Helper Results'!F:F)</f>
        <v>7</v>
      </c>
      <c r="H24" s="10" t="n">
        <f aca="false" t="array" ref="H24:H24">_xlfn.LET(_xlpm.dates,IFERROR(_xlfn.UNIQUE(_xlfn._xlws.FILTER('Helper Results'!A:A,('Helper Results'!D:D=$B24)*('Helper Results'!A:A&lt;&gt;""))), ""),_xlpm.counts,IF(_xlpm.dates="", 0, COUNTIFS('Helper Results'!D:D, $B24, 'Helper Results'!A:A, _xlpm.dates, 'Helper Results'!E:E, "Win")),SUMPRODUCT(--(_xlpm.counts=3))+2*SUMPRODUCT(--(_xlpm.counts&gt;=4)))</f>
        <v>0</v>
      </c>
      <c r="I24" s="10" t="n">
        <f aca="false">G24+H24</f>
        <v>7</v>
      </c>
      <c r="J24" s="10" t="n">
        <f aca="false">RANK(I24,$I$2:$I$31)</f>
        <v>23</v>
      </c>
    </row>
    <row r="25" customFormat="false" ht="14.25" hidden="false" customHeight="false" outlineLevel="0" collapsed="false">
      <c r="A25" s="29" t="n">
        <v>24</v>
      </c>
      <c r="B25" s="10" t="s">
        <v>30</v>
      </c>
      <c r="C25" s="10" t="n">
        <f aca="false">COUNTIF('Helper Results'!D:D,B25)</f>
        <v>4</v>
      </c>
      <c r="D25" s="10" t="n">
        <f aca="false">COUNTIFS('Helper Results'!D:D,B25,'Helper Results'!E:E,"Win")</f>
        <v>1</v>
      </c>
      <c r="E25" s="10" t="n">
        <f aca="false">COUNTIFS('Helper Results'!D:D,B25,'Helper Results'!E:E,"Draw")</f>
        <v>0</v>
      </c>
      <c r="F25" s="10" t="n">
        <f aca="false">COUNTIFS('Helper Results'!D:D,B25,'Helper Results'!E:E,"Loss")</f>
        <v>3</v>
      </c>
      <c r="G25" s="10" t="n">
        <f aca="false">SUMIF('Helper Results'!D:D,B25,'Helper Results'!F:F)</f>
        <v>6</v>
      </c>
      <c r="H25" s="10" t="n">
        <f aca="false" t="array" ref="H25:H25">_xlfn.LET(_xlpm.dates,IFERROR(_xlfn.UNIQUE(_xlfn._xlws.FILTER('Helper Results'!A:A,('Helper Results'!D:D=$B25)*('Helper Results'!A:A&lt;&gt;""))), ""),_xlpm.counts,IF(_xlpm.dates="", 0, COUNTIFS('Helper Results'!D:D, $B25, 'Helper Results'!A:A, _xlpm.dates, 'Helper Results'!E:E, "Win")),SUMPRODUCT(--(_xlpm.counts=3))+2*SUMPRODUCT(--(_xlpm.counts&gt;=4)))</f>
        <v>0</v>
      </c>
      <c r="I25" s="10" t="n">
        <f aca="false">G25+H25</f>
        <v>6</v>
      </c>
      <c r="J25" s="10" t="n">
        <f aca="false">RANK(I25,$I$2:$I$31)</f>
        <v>24</v>
      </c>
    </row>
    <row r="26" customFormat="false" ht="14.25" hidden="false" customHeight="false" outlineLevel="0" collapsed="false">
      <c r="A26" s="29" t="n">
        <v>25</v>
      </c>
      <c r="B26" s="10" t="s">
        <v>32</v>
      </c>
      <c r="C26" s="10" t="n">
        <f aca="false">COUNTIF('Helper Results'!D:D,B26)</f>
        <v>2</v>
      </c>
      <c r="D26" s="10" t="n">
        <f aca="false">COUNTIFS('Helper Results'!D:D,B26,'Helper Results'!E:E,"Win")</f>
        <v>1</v>
      </c>
      <c r="E26" s="10" t="n">
        <f aca="false">COUNTIFS('Helper Results'!D:D,B26,'Helper Results'!E:E,"Draw")</f>
        <v>0</v>
      </c>
      <c r="F26" s="10" t="n">
        <f aca="false">COUNTIFS('Helper Results'!D:D,B26,'Helper Results'!E:E,"Loss")</f>
        <v>1</v>
      </c>
      <c r="G26" s="10" t="n">
        <f aca="false">SUMIF('Helper Results'!D:D,B26,'Helper Results'!F:F)</f>
        <v>4</v>
      </c>
      <c r="H26" s="10" t="n">
        <f aca="false" t="array" ref="H26:H26">_xlfn.LET(_xlpm.dates,IFERROR(_xlfn.UNIQUE(_xlfn._xlws.FILTER('Helper Results'!A:A,('Helper Results'!D:D=$B26)*('Helper Results'!A:A&lt;&gt;""))), ""),_xlpm.counts,IF(_xlpm.dates="", 0, COUNTIFS('Helper Results'!D:D, $B26, 'Helper Results'!A:A, _xlpm.dates, 'Helper Results'!E:E, "Win")),SUMPRODUCT(--(_xlpm.counts=3))+2*SUMPRODUCT(--(_xlpm.counts&gt;=4)))</f>
        <v>0</v>
      </c>
      <c r="I26" s="10" t="n">
        <f aca="false">G26+H26</f>
        <v>4</v>
      </c>
      <c r="J26" s="10" t="n">
        <f aca="false">RANK(I26,$I$2:$I$31)</f>
        <v>25</v>
      </c>
    </row>
    <row r="27" customFormat="false" ht="14.25" hidden="false" customHeight="false" outlineLevel="0" collapsed="false">
      <c r="A27" s="29" t="n">
        <v>26</v>
      </c>
      <c r="B27" s="10" t="s">
        <v>35</v>
      </c>
      <c r="C27" s="10" t="n">
        <f aca="false">COUNTIF('Helper Results'!D:D,B27)</f>
        <v>2</v>
      </c>
      <c r="D27" s="10" t="n">
        <f aca="false">COUNTIFS('Helper Results'!D:D,B27,'Helper Results'!E:E,"Win")</f>
        <v>0</v>
      </c>
      <c r="E27" s="10" t="n">
        <f aca="false">COUNTIFS('Helper Results'!D:D,B27,'Helper Results'!E:E,"Draw")</f>
        <v>0</v>
      </c>
      <c r="F27" s="10" t="n">
        <f aca="false">COUNTIFS('Helper Results'!D:D,B27,'Helper Results'!E:E,"Loss")</f>
        <v>2</v>
      </c>
      <c r="G27" s="10" t="n">
        <f aca="false">SUMIF('Helper Results'!D:D,B27,'Helper Results'!F:F)</f>
        <v>2</v>
      </c>
      <c r="H27" s="10" t="n">
        <f aca="false" t="array" ref="H27:H27">_xlfn.LET(_xlpm.dates,IFERROR(_xlfn.UNIQUE(_xlfn._xlws.FILTER('Helper Results'!A:A,('Helper Results'!D:D=$B27)*('Helper Results'!A:A&lt;&gt;""))), ""),_xlpm.counts,IF(_xlpm.dates="", 0, COUNTIFS('Helper Results'!D:D, $B27, 'Helper Results'!A:A, _xlpm.dates, 'Helper Results'!E:E, "Win")),SUMPRODUCT(--(_xlpm.counts=3))+2*SUMPRODUCT(--(_xlpm.counts&gt;=4)))</f>
        <v>0</v>
      </c>
      <c r="I27" s="10" t="n">
        <f aca="false">G27+H27</f>
        <v>2</v>
      </c>
      <c r="J27" s="10" t="n">
        <f aca="false">RANK(I27,$I$2:$I$31)</f>
        <v>26</v>
      </c>
    </row>
  </sheetData>
  <autoFilter ref="B1:J1">
    <sortState ref="B2:J1">
      <sortCondition ref="B2:B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2025-09-26T10:56:14Z</dcterms:created>
  <dc:creator>openpyxl</dc:creator>
  <dc:description/>
  <dc:language>en-US</dc:language>
  <cp:lastModifiedBy/>
  <dcterms:modified xsi:type="dcterms:W3CDTF">2025-11-07T22:47:59Z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